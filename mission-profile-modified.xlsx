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https://virginiatech-my.sharepoint.com/personal/krlemke_vt_edu/Documents/Senior Design/TiltRotorCode/"/>
    </mc:Choice>
  </mc:AlternateContent>
  <xr:revisionPtr revIDLastSave="194" documentId="13_ncr:1_{78FFCD3C-2662-40C4-8D83-F46021C06429}" xr6:coauthVersionLast="47" xr6:coauthVersionMax="47" xr10:uidLastSave="{AB223EF1-067A-40A3-BA85-EF370DA3D746}"/>
  <bookViews>
    <workbookView xWindow="6280" yWindow="2690" windowWidth="11340" windowHeight="9680" firstSheet="1" activeTab="4" xr2:uid="{00000000-000D-0000-FFFF-FFFF00000000}"/>
  </bookViews>
  <sheets>
    <sheet name="RFP Sizing General" sheetId="1" r:id="rId1"/>
    <sheet name="Geography" sheetId="4" r:id="rId2"/>
    <sheet name="V22 Mission for Validation" sheetId="2" r:id="rId3"/>
    <sheet name="Airport Distances" sheetId="3" r:id="rId4"/>
    <sheet name="Heli Mission Fuel Cons Valu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0" i="5" l="1"/>
  <c r="C63" i="5"/>
  <c r="C66" i="5"/>
  <c r="C65" i="5"/>
  <c r="B63" i="5"/>
  <c r="G69" i="5"/>
  <c r="G68" i="5"/>
  <c r="C60" i="5"/>
  <c r="D55" i="5"/>
  <c r="D54" i="5"/>
  <c r="C54" i="5"/>
  <c r="G53" i="5"/>
  <c r="G52" i="5"/>
  <c r="D53" i="5"/>
  <c r="D52" i="5"/>
  <c r="D50" i="5"/>
  <c r="C50" i="5"/>
  <c r="C49" i="5"/>
  <c r="D49" i="5"/>
  <c r="C47" i="5"/>
  <c r="D47" i="5"/>
  <c r="H36" i="5"/>
  <c r="H37" i="5"/>
  <c r="I37" i="5" s="1"/>
  <c r="H38" i="5"/>
  <c r="I38" i="5" s="1"/>
  <c r="H39" i="5"/>
  <c r="H40" i="5"/>
  <c r="H41" i="5"/>
  <c r="I41" i="5" s="1"/>
  <c r="H35" i="5"/>
  <c r="D46" i="5"/>
  <c r="B47" i="5"/>
  <c r="E41" i="5"/>
  <c r="D41" i="5"/>
  <c r="I40" i="5"/>
  <c r="E40" i="5"/>
  <c r="D40" i="5"/>
  <c r="I39" i="5"/>
  <c r="E39" i="5"/>
  <c r="D39" i="5"/>
  <c r="E38" i="5"/>
  <c r="D48" i="5" s="1"/>
  <c r="D38" i="5"/>
  <c r="E37" i="5"/>
  <c r="D37" i="5"/>
  <c r="I36" i="5"/>
  <c r="E36" i="5"/>
  <c r="D36" i="5"/>
  <c r="I35" i="5"/>
  <c r="E35" i="5"/>
  <c r="D35" i="5"/>
  <c r="E34" i="5"/>
  <c r="D34" i="5"/>
  <c r="E33" i="5"/>
  <c r="D33" i="5"/>
  <c r="E32" i="5"/>
  <c r="D32" i="5"/>
  <c r="M12" i="5"/>
  <c r="M11" i="5"/>
  <c r="M10" i="5"/>
  <c r="M9" i="5"/>
  <c r="M8" i="5"/>
  <c r="N6" i="5"/>
  <c r="N5" i="5"/>
  <c r="C27" i="5"/>
  <c r="D21" i="5"/>
  <c r="D22" i="5"/>
  <c r="D20" i="5"/>
  <c r="C20" i="5"/>
  <c r="B25" i="5"/>
  <c r="D26" i="5"/>
  <c r="D25" i="5"/>
  <c r="H15" i="5"/>
  <c r="H14" i="5"/>
  <c r="H13" i="5"/>
  <c r="H12" i="5"/>
  <c r="H11" i="5"/>
  <c r="H10" i="5"/>
  <c r="H9" i="5"/>
  <c r="I10" i="5"/>
  <c r="I11" i="5"/>
  <c r="I12" i="5"/>
  <c r="I13" i="5"/>
  <c r="I14" i="5"/>
  <c r="I15" i="5"/>
  <c r="I9" i="5"/>
  <c r="D9" i="5"/>
  <c r="D23" i="5"/>
  <c r="C23" i="5"/>
  <c r="C22" i="5"/>
  <c r="D19" i="5"/>
  <c r="B20" i="5"/>
  <c r="E7" i="5"/>
  <c r="E8" i="5"/>
  <c r="E9" i="5"/>
  <c r="E10" i="5"/>
  <c r="E11" i="5"/>
  <c r="E12" i="5"/>
  <c r="E13" i="5"/>
  <c r="E14" i="5"/>
  <c r="E15" i="5"/>
  <c r="E6" i="5"/>
  <c r="D7" i="5"/>
  <c r="D8" i="5"/>
  <c r="D10" i="5"/>
  <c r="D11" i="5"/>
  <c r="D12" i="5"/>
  <c r="D13" i="5"/>
  <c r="D14" i="5"/>
  <c r="D15" i="5"/>
  <c r="D6" i="5"/>
  <c r="S8" i="2"/>
  <c r="AG56" i="2"/>
  <c r="AG58" i="2" s="1"/>
  <c r="AG54" i="2"/>
  <c r="AG50" i="2"/>
  <c r="AE56" i="2"/>
  <c r="AE58" i="2" s="1"/>
  <c r="AF68" i="2"/>
  <c r="AJ67" i="2"/>
  <c r="AE67" i="2"/>
  <c r="AF67" i="2" s="1"/>
  <c r="AF64" i="2"/>
  <c r="AE64" i="2"/>
  <c r="AE61" i="2"/>
  <c r="AE55" i="2"/>
  <c r="AE54" i="2"/>
  <c r="AE60" i="2" s="1"/>
  <c r="AE51" i="2"/>
  <c r="AE65" i="2" s="1"/>
  <c r="AE50" i="2"/>
  <c r="AK49" i="2"/>
  <c r="AE49" i="2"/>
  <c r="AF49" i="2" s="1"/>
  <c r="AE46" i="2"/>
  <c r="AE68" i="2" s="1"/>
  <c r="AD41" i="2"/>
  <c r="F61" i="1"/>
  <c r="E61" i="1"/>
  <c r="E58" i="1"/>
  <c r="G30" i="1"/>
  <c r="E48" i="1"/>
  <c r="E54" i="1"/>
  <c r="E52" i="1"/>
  <c r="E50" i="1"/>
  <c r="E46" i="1"/>
  <c r="F46" i="1" s="1"/>
  <c r="E44" i="1"/>
  <c r="F44" i="1" s="1"/>
  <c r="G44" i="1" s="1"/>
  <c r="E42" i="1"/>
  <c r="D32" i="1"/>
  <c r="F28" i="1"/>
  <c r="G28" i="1" s="1"/>
  <c r="D28" i="1"/>
  <c r="E32" i="1"/>
  <c r="I33" i="1"/>
  <c r="J33" i="1"/>
  <c r="I37" i="1"/>
  <c r="J39" i="1"/>
  <c r="J37" i="1"/>
  <c r="I39" i="1"/>
  <c r="E38" i="1" s="1"/>
  <c r="I29" i="1"/>
  <c r="J29" i="1"/>
  <c r="D55" i="1"/>
  <c r="D53" i="1"/>
  <c r="D52" i="1"/>
  <c r="D51" i="1"/>
  <c r="H51" i="1" s="1"/>
  <c r="I51" i="1" s="1"/>
  <c r="D50" i="1"/>
  <c r="D48" i="1"/>
  <c r="D47" i="1"/>
  <c r="D46" i="1"/>
  <c r="D45" i="1"/>
  <c r="D44" i="1"/>
  <c r="D43" i="1"/>
  <c r="D39" i="1"/>
  <c r="D37" i="1"/>
  <c r="E36" i="1"/>
  <c r="D33" i="1"/>
  <c r="F24" i="1"/>
  <c r="G24" i="1" s="1"/>
  <c r="F26" i="1"/>
  <c r="E28" i="1"/>
  <c r="D29" i="1"/>
  <c r="F30" i="1"/>
  <c r="L23" i="1"/>
  <c r="F22" i="1"/>
  <c r="D24" i="1"/>
  <c r="D25" i="1"/>
  <c r="E24" i="1" s="1"/>
  <c r="I25" i="1"/>
  <c r="J25" i="1"/>
  <c r="B10" i="4"/>
  <c r="E20" i="1"/>
  <c r="F20" i="1" s="1"/>
  <c r="I21" i="1"/>
  <c r="J21" i="1"/>
  <c r="J17" i="1"/>
  <c r="J15" i="1"/>
  <c r="E14" i="1"/>
  <c r="I17" i="1"/>
  <c r="C7" i="3"/>
  <c r="C6" i="3"/>
  <c r="C5" i="3"/>
  <c r="C4" i="3"/>
  <c r="C2" i="3"/>
  <c r="R22" i="2"/>
  <c r="Q23" i="2"/>
  <c r="Q22" i="2"/>
  <c r="Q19" i="2"/>
  <c r="Q18" i="2"/>
  <c r="Q12" i="2"/>
  <c r="Q13" i="2"/>
  <c r="R25" i="2"/>
  <c r="R26" i="2"/>
  <c r="Q26" i="2"/>
  <c r="Q4" i="2"/>
  <c r="V25" i="2"/>
  <c r="Q25" i="2"/>
  <c r="Q7" i="2"/>
  <c r="R7" i="2" s="1"/>
  <c r="W7" i="2"/>
  <c r="Q9" i="2"/>
  <c r="V9" i="2" s="1"/>
  <c r="W9" i="2" s="1"/>
  <c r="V13" i="2" s="1"/>
  <c r="R12" i="2" s="1"/>
  <c r="Q8" i="2"/>
  <c r="G22" i="1"/>
  <c r="G26" i="1"/>
  <c r="F50" i="1"/>
  <c r="G50" i="1" s="1"/>
  <c r="F40" i="1"/>
  <c r="G40" i="1" s="1"/>
  <c r="F36" i="1"/>
  <c r="G36" i="1" s="1"/>
  <c r="F34" i="1"/>
  <c r="G34" i="1" s="1"/>
  <c r="F18" i="1"/>
  <c r="G18" i="1" s="1"/>
  <c r="F16" i="1"/>
  <c r="G16" i="1" s="1"/>
  <c r="F12" i="1"/>
  <c r="G12" i="1" s="1"/>
  <c r="R18" i="2" l="1"/>
  <c r="R14" i="2"/>
  <c r="R16" i="2" s="1"/>
  <c r="S12" i="2"/>
  <c r="S14" i="2" s="1"/>
  <c r="Q14" i="2" s="1"/>
  <c r="Q16" i="2" s="1"/>
  <c r="AF58" i="2"/>
  <c r="AJ51" i="2"/>
  <c r="AK51" i="2" s="1"/>
  <c r="AJ55" i="2" s="1"/>
  <c r="AF54" i="2" s="1"/>
  <c r="AF60" i="2" s="1"/>
  <c r="AF56" i="2"/>
  <c r="F58" i="1"/>
  <c r="G58" i="1" s="1"/>
  <c r="H55" i="1"/>
  <c r="F52" i="1"/>
  <c r="G52" i="1" s="1"/>
  <c r="H53" i="1"/>
  <c r="I53" i="1" s="1"/>
  <c r="H47" i="1"/>
  <c r="I47" i="1" s="1"/>
  <c r="H45" i="1"/>
  <c r="I45" i="1" s="1"/>
  <c r="H43" i="1"/>
  <c r="J43" i="1" s="1"/>
  <c r="I43" i="1"/>
  <c r="F32" i="1"/>
  <c r="G32" i="1" s="1"/>
  <c r="G46" i="1"/>
  <c r="G20" i="1"/>
  <c r="S16" i="2" l="1"/>
  <c r="J45" i="1"/>
  <c r="J47" i="1" s="1"/>
  <c r="J51" i="1" s="1"/>
  <c r="J53" i="1" s="1"/>
  <c r="J55" i="1" s="1"/>
  <c r="C67" i="1"/>
  <c r="D67" i="1" s="1"/>
  <c r="C68" i="1"/>
  <c r="D68" i="1" s="1"/>
  <c r="C70" i="1"/>
  <c r="D70" i="1" s="1"/>
  <c r="F48" i="1" l="1"/>
  <c r="G48" i="1" l="1"/>
  <c r="G61" i="1" s="1"/>
  <c r="E22" i="1"/>
  <c r="E30" i="1" l="1"/>
  <c r="E66" i="1" s="1"/>
  <c r="B66" i="1"/>
  <c r="C66" i="1" l="1"/>
  <c r="D66" i="1" s="1"/>
  <c r="B5" i="1"/>
</calcChain>
</file>

<file path=xl/sharedStrings.xml><?xml version="1.0" encoding="utf-8"?>
<sst xmlns="http://schemas.openxmlformats.org/spreadsheetml/2006/main" count="657" uniqueCount="245">
  <si>
    <t>V_stall (m/s)</t>
  </si>
  <si>
    <r>
      <rPr>
        <b/>
        <u/>
        <sz val="11"/>
        <color theme="1"/>
        <rFont val="Calibri"/>
        <charset val="134"/>
        <scheme val="minor"/>
      </rPr>
      <t>Note</t>
    </r>
    <r>
      <rPr>
        <b/>
        <sz val="11"/>
        <color theme="1"/>
        <rFont val="Calibri"/>
        <charset val="134"/>
        <scheme val="minor"/>
      </rPr>
      <t>:</t>
    </r>
  </si>
  <si>
    <t>Cumulative AGL (ft)</t>
  </si>
  <si>
    <t>Main mission</t>
  </si>
  <si>
    <t>Reserve mission</t>
  </si>
  <si>
    <t>Mission Segment</t>
  </si>
  <si>
    <t>Velocity
(m/s)</t>
  </si>
  <si>
    <t>Time
(s)</t>
  </si>
  <si>
    <t>Distance
(m)</t>
  </si>
  <si>
    <t>Distance
(mi)</t>
  </si>
  <si>
    <t>Δh (ft)</t>
  </si>
  <si>
    <t>Depart Taxi</t>
  </si>
  <si>
    <t>→</t>
  </si>
  <si>
    <t>depart_taxi_avg_h_m_p_s</t>
  </si>
  <si>
    <t>↑</t>
  </si>
  <si>
    <t>Hover climb</t>
  </si>
  <si>
    <t>hover_climb_avg_v_m_p_s</t>
  </si>
  <si>
    <t>Transition Climb</t>
  </si>
  <si>
    <t>trans_climb_avg_h_m_p_s</t>
  </si>
  <si>
    <t>trans_climb_v_m_p_s</t>
  </si>
  <si>
    <t>Depart Procedures</t>
  </si>
  <si>
    <t>depart_proc_h_m_p_s</t>
  </si>
  <si>
    <t>Accelerate Climb</t>
  </si>
  <si>
    <t>accel_climb_avg_h_m_p_s</t>
  </si>
  <si>
    <t>accel_climb_v_m_p_s</t>
  </si>
  <si>
    <t>cruise_h_m_p_s</t>
  </si>
  <si>
    <t>Decelerate Descend</t>
  </si>
  <si>
    <t>decel_descend_avg_h_m_p_s</t>
  </si>
  <si>
    <t>decel_descend_v_m_p_s</t>
  </si>
  <si>
    <t>Arrive Procedures</t>
  </si>
  <si>
    <t>arrive_proc_h_m_p_s</t>
  </si>
  <si>
    <t>Transition Descend</t>
  </si>
  <si>
    <t>trans_descend_avg_h_m_p_s</t>
  </si>
  <si>
    <t>trans_descend_v_m_p_s</t>
  </si>
  <si>
    <t>Hover Descend</t>
  </si>
  <si>
    <t>hover_descend_avg_v_m_p_s</t>
  </si>
  <si>
    <t>Arrive Taxi</t>
  </si>
  <si>
    <t>arrive_taxi_avg_h_m_p_s</t>
  </si>
  <si>
    <t>Reserve Hover Climb</t>
  </si>
  <si>
    <t>reserve_hover_climb_avg_v_m_p_s</t>
  </si>
  <si>
    <t>Reserve Transition Climb</t>
  </si>
  <si>
    <t>reserve_trans_climb_avg_h_m_p_s</t>
  </si>
  <si>
    <t>reserve_trans_climb_v_m_p_s</t>
  </si>
  <si>
    <t>Reserve Accelerate Climb</t>
  </si>
  <si>
    <t>reserve_accel_climb_avg_h_m_p_s</t>
  </si>
  <si>
    <t>reserve_accel_climb_v_m_p_s</t>
  </si>
  <si>
    <t>Reserve Cruise</t>
  </si>
  <si>
    <t>reserve_cruise_h_m_p_s</t>
  </si>
  <si>
    <t>Reserve Decelerate Descend</t>
  </si>
  <si>
    <t>reserve_decel_descend_avg_h_m_p_s</t>
  </si>
  <si>
    <t>reserve_decel_descend_v_m_p_s</t>
  </si>
  <si>
    <t>Reserve Transition Descend</t>
  </si>
  <si>
    <t>reserve_trans_descend_avg_h_m_p_s</t>
  </si>
  <si>
    <t>reserve_trans_descend_v_m_p_s</t>
  </si>
  <si>
    <t>Reserve Hover Descend</t>
  </si>
  <si>
    <t>reserve_hover_descend_avg_v_m_p_s</t>
  </si>
  <si>
    <t>Main</t>
  </si>
  <si>
    <t>~1500</t>
  </si>
  <si>
    <t>(min)</t>
  </si>
  <si>
    <t>(m)</t>
  </si>
  <si>
    <t>(mile)</t>
  </si>
  <si>
    <t>(ft)</t>
  </si>
  <si>
    <t>Reserve</t>
  </si>
  <si>
    <t>~500</t>
  </si>
  <si>
    <t>FIND CRUISE TIME</t>
  </si>
  <si>
    <t>Mission</t>
  </si>
  <si>
    <t>Cruise Distance</t>
  </si>
  <si>
    <t>Cruise Time (s)</t>
  </si>
  <si>
    <t>Short (mi)</t>
  </si>
  <si>
    <t>Medium (mi)</t>
  </si>
  <si>
    <t>Long (mi)</t>
  </si>
  <si>
    <t>Reserve (mi)</t>
  </si>
  <si>
    <t>Cruise Initial</t>
  </si>
  <si>
    <t>Cruise Return</t>
  </si>
  <si>
    <t>Accelerate Climb Drop Point</t>
  </si>
  <si>
    <t>Drop Payload</t>
  </si>
  <si>
    <t>Decelerate Descend Drop Point</t>
  </si>
  <si>
    <t>Mission time</t>
  </si>
  <si>
    <t>delta h meters</t>
  </si>
  <si>
    <t>Derived from khoas original mission work</t>
  </si>
  <si>
    <t>Basic Mission</t>
  </si>
  <si>
    <t>Missions with more segments and other varying parameters will be defined</t>
  </si>
  <si>
    <t>Mission inputs for V-22 validation</t>
  </si>
  <si>
    <t>Troops</t>
  </si>
  <si>
    <t>Weight (lb)</t>
  </si>
  <si>
    <t>Payload</t>
  </si>
  <si>
    <t>248 kt</t>
  </si>
  <si>
    <t>Mission Segment - Use SOF because long cruise</t>
  </si>
  <si>
    <t>500nm</t>
  </si>
  <si>
    <t>1090 fpm</t>
  </si>
  <si>
    <t>https://www.history.navy.mil/research/histories/naval-aviation-history/naval-aircraft/current-aircraft-inventory/v-22-osprey.html</t>
  </si>
  <si>
    <t>180 KCAS</t>
  </si>
  <si>
    <t>20 KCAS</t>
  </si>
  <si>
    <t>https://verticalmag.com/features/20112-flying-the-v-22-html/</t>
  </si>
  <si>
    <t>Mission Segment - max values using amphib assault</t>
  </si>
  <si>
    <t>Cumulative AGL (m)</t>
  </si>
  <si>
    <t>This based on the total speed for transition</t>
  </si>
  <si>
    <t>None</t>
  </si>
  <si>
    <t>Service ceiling and maximum range. Must be sure the fuel calculation for fuel needed is less than the tanks</t>
  </si>
  <si>
    <t>Return loop</t>
  </si>
  <si>
    <t>Speed of transition approx 70kn or more. Picked middle ground. Said fasted transition was 12-16 seconds, slowed it down</t>
  </si>
  <si>
    <t>Upper limit for this is 220kn so gave a ~20% margin to slow down</t>
  </si>
  <si>
    <t>Gravity, descend faster</t>
  </si>
  <si>
    <t>Solve with the other numbers as did with ascend</t>
  </si>
  <si>
    <t>Aircraft vertical climb rate max is 625 m/m</t>
  </si>
  <si>
    <t>Climb to service ceiling, low end cruise speed is 448km/h so solved the magnitude of v+h to get that value</t>
  </si>
  <si>
    <t>Based on the maximum operation for helicopter mode and stall warnings from flight manual. Climb given in specs</t>
  </si>
  <si>
    <t>Speed under 20kn</t>
  </si>
  <si>
    <t>Matcched out</t>
  </si>
  <si>
    <t>All 3 RFP locations factored in</t>
  </si>
  <si>
    <t>Delta h derived from the operating requirements for heights which I saw 500m ceiling…</t>
  </si>
  <si>
    <t>Location</t>
  </si>
  <si>
    <t>Airport</t>
  </si>
  <si>
    <t>Airport Type</t>
  </si>
  <si>
    <t>Greece</t>
  </si>
  <si>
    <t>ATH</t>
  </si>
  <si>
    <t>Approx Distance (m)</t>
  </si>
  <si>
    <t>Amphiali Heliport</t>
  </si>
  <si>
    <t>Helicopters</t>
  </si>
  <si>
    <t>Elefsis Air Base</t>
  </si>
  <si>
    <t>Military</t>
  </si>
  <si>
    <t>Tatoi Airport</t>
  </si>
  <si>
    <t>Minor Commercial</t>
  </si>
  <si>
    <t>Major Commercial</t>
  </si>
  <si>
    <t>Megara Air Base</t>
  </si>
  <si>
    <t>Marathon Kotroni Navy Helicopter Base</t>
  </si>
  <si>
    <t>CA</t>
  </si>
  <si>
    <t>LAX</t>
  </si>
  <si>
    <t>BUR</t>
  </si>
  <si>
    <t>SMO</t>
  </si>
  <si>
    <t>General Aviation</t>
  </si>
  <si>
    <t>VNY</t>
  </si>
  <si>
    <t>HHR</t>
  </si>
  <si>
    <t>LGB</t>
  </si>
  <si>
    <t>SNA</t>
  </si>
  <si>
    <t>France</t>
  </si>
  <si>
    <t>TLS</t>
  </si>
  <si>
    <t>BOD</t>
  </si>
  <si>
    <t>Lig</t>
  </si>
  <si>
    <t>NTE</t>
  </si>
  <si>
    <t>LFBT</t>
  </si>
  <si>
    <t>LFBP</t>
  </si>
  <si>
    <t>LFJH</t>
  </si>
  <si>
    <t>See airport distances for overview of options to fly from and straight line distances to ignition locations</t>
  </si>
  <si>
    <t>Reserve - Cumulative AGL (m)</t>
  </si>
  <si>
    <t>Reserve Range (m)</t>
  </si>
  <si>
    <t>Total Range (m)</t>
  </si>
  <si>
    <t>Speeds based on ~20-40% decreases from existing aircraft (see validation)</t>
  </si>
  <si>
    <t>Speeds based on safety regulations, mission location constraints</t>
  </si>
  <si>
    <t>Standard operation transition at 30-60m</t>
  </si>
  <si>
    <t>Operational ceiling at 500m above ground; in changing environments the delta above takeoff may get higher</t>
  </si>
  <si>
    <t>Pyrenees</t>
  </si>
  <si>
    <t>Summit Max Height</t>
  </si>
  <si>
    <t>m</t>
  </si>
  <si>
    <t>Lowest Point</t>
  </si>
  <si>
    <t>Airport General Elevation</t>
  </si>
  <si>
    <t>General</t>
  </si>
  <si>
    <t>MinDrop Height</t>
  </si>
  <si>
    <t>ft</t>
  </si>
  <si>
    <t>must be open field</t>
  </si>
  <si>
    <t>Lowest possible drop height around 15.24m in open fields. Added a 30% safety margin</t>
  </si>
  <si>
    <t>MinDrop Speed</t>
  </si>
  <si>
    <t>m/2</t>
  </si>
  <si>
    <t>approx stall speed…</t>
  </si>
  <si>
    <t>Assuming same vertical rates in cruise</t>
  </si>
  <si>
    <t>drop_payload_h_m_p_s</t>
  </si>
  <si>
    <t>Estimated based on priority taxi to takeoff upon need for response</t>
  </si>
  <si>
    <t>Total time (min)</t>
  </si>
  <si>
    <t>Pyrenees 30 min response time given remote location. Calculate time from taxi to arrival approximating 60km to fly there (2nd smalled FRA dist)</t>
  </si>
  <si>
    <t>For simplicity, no transition descent to hover drop mode</t>
  </si>
  <si>
    <t>Drop time should scale with payload, our design anticipates a 1500-3000gal payload so will assume about 5 seconds. Smaller than payload military is claiming to drop in 5 seconds</t>
  </si>
  <si>
    <t>Drop time min</t>
  </si>
  <si>
    <t>s</t>
  </si>
  <si>
    <t>https://www.af.mil/About-Us/Fact-Sheets/Display/Article/104558/modular-airborne-fire-fighting-system/</t>
  </si>
  <si>
    <t>This give 16 minutes to prepare pilots for takeoff and run safety checks</t>
  </si>
  <si>
    <t xml:space="preserve">Note fully loaded should have a mission radius of </t>
  </si>
  <si>
    <t>nm</t>
  </si>
  <si>
    <t>Mission Segment - Max 700nm in 3hrs</t>
  </si>
  <si>
    <t>UH1-Huey</t>
  </si>
  <si>
    <t>Flight Mode</t>
  </si>
  <si>
    <t>Data from handbook</t>
  </si>
  <si>
    <t>MTOW</t>
  </si>
  <si>
    <t>minus PL</t>
  </si>
  <si>
    <t>Fuel burn in lb/hr</t>
  </si>
  <si>
    <t>Fuel burn in kg/s</t>
  </si>
  <si>
    <t>HIGE</t>
  </si>
  <si>
    <t>HOGE</t>
  </si>
  <si>
    <t>NOE</t>
  </si>
  <si>
    <t>Huey Mission for Sim</t>
  </si>
  <si>
    <t>taxi</t>
  </si>
  <si>
    <t>Vertical m/s</t>
  </si>
  <si>
    <t>Horiz m/s</t>
  </si>
  <si>
    <t>Fuel rate SL</t>
  </si>
  <si>
    <t>Hovers of 2ft or less and speeds 10kts or less</t>
  </si>
  <si>
    <t>Hovers height more than 2ft</t>
  </si>
  <si>
    <t>cruise Speed</t>
  </si>
  <si>
    <t>unloaded</t>
  </si>
  <si>
    <t>Corrected carrying PL for drag</t>
  </si>
  <si>
    <t>Assum 25 ft^2</t>
  </si>
  <si>
    <t>lb/hr</t>
  </si>
  <si>
    <t>kg/s</t>
  </si>
  <si>
    <t>takeoff alt</t>
  </si>
  <si>
    <t>just when you start not hover climbing…</t>
  </si>
  <si>
    <t>hover climb</t>
  </si>
  <si>
    <t>Use 80kn</t>
  </si>
  <si>
    <t>loaded plus PL drag</t>
  </si>
  <si>
    <t>Loaded</t>
  </si>
  <si>
    <t>cruise climb/descend</t>
  </si>
  <si>
    <t>loiter</t>
  </si>
  <si>
    <t>Fuel Cap</t>
  </si>
  <si>
    <t>https://robertsonfuelsystems.com/defense/httpwww-robertsonfuelsystems-comwp-contentuploads201605uh-1-iafs-web-pdf/</t>
  </si>
  <si>
    <t>Per tank</t>
  </si>
  <si>
    <t>Total tanks</t>
  </si>
  <si>
    <t>74 gal</t>
  </si>
  <si>
    <t>Litres</t>
  </si>
  <si>
    <t>Fuel weight</t>
  </si>
  <si>
    <t>Oper Fuel</t>
  </si>
  <si>
    <t>Refuel time</t>
  </si>
  <si>
    <t>Refuel rate (kg/s)</t>
  </si>
  <si>
    <t>Note these tanks are technically installed and removed</t>
  </si>
  <si>
    <t>https://www.119firecontrol.com/helicopter-fire-suppression.html</t>
  </si>
  <si>
    <t>https://www.globalmilitary.net/aircraft/uh-1-huey/</t>
  </si>
  <si>
    <t>Black Hawk</t>
  </si>
  <si>
    <t>Manual</t>
  </si>
  <si>
    <t>https://www.globalmilitary.net/aircraft/uh-60-black-hawk/</t>
  </si>
  <si>
    <t>ADJ</t>
  </si>
  <si>
    <t>Assum 36 ft^2</t>
  </si>
  <si>
    <t>descend</t>
  </si>
  <si>
    <t>Skycrane</t>
  </si>
  <si>
    <t>Does not have the manual :(</t>
  </si>
  <si>
    <t>Numbers from</t>
  </si>
  <si>
    <t>https://www.globalair.com/aircraft-specifications/sikorsky/sikorsky-s-64-specifications/1692</t>
  </si>
  <si>
    <t>Approximated based on published avg gal/hr</t>
  </si>
  <si>
    <t>chrome-extension://efaidnbmnnnibpcajpcglclefindmkaj/https://www.fs.usda.gov/sites/default/files/media_wysiwyg/flt_chrt_awarded_2013-2017_0.pdf</t>
  </si>
  <si>
    <t>Avg gal/hr</t>
  </si>
  <si>
    <t>Use this for all segments</t>
  </si>
  <si>
    <t>BH Mission for Sim</t>
  </si>
  <si>
    <t>guess based on how the first 2 helis were</t>
  </si>
  <si>
    <t>just when you start not hover climbing… larger so higher</t>
  </si>
  <si>
    <t>AT802</t>
  </si>
  <si>
    <t>Again no hard specs</t>
  </si>
  <si>
    <t>Did math based off of SHP required for eacch segment for FB, directly in json</t>
  </si>
  <si>
    <t>https://802u.com/aircraft-specifications/</t>
  </si>
  <si>
    <t>https://airtractor.com/aircraft/at-802a/#specifications</t>
  </si>
  <si>
    <t>chrome-extension://efaidnbmnnnibpcajpcglclefindmkaj/https://airtractor.com/wp-content/uploads/2022/09/Air-Tractor_802F-Brochure_2022.pdf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</si>
</sst>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_ "/>
    <numFmt numFmtId="165" formatCode="0.0_ "/>
    <numFmt numFmtId="166" formatCode="0.0_);[Red]\(0.0\)"/>
    <numFmt numFmtId="167" formatCode="0_);[Red]\(0\)"/>
    <numFmt numFmtId="168" formatCode="0.00_ "/>
    <numFmt numFmtId="169" formatCode="0.00_);[Red]\(0.00\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sz val="11"/>
      <color rgb="FFFF0000"/>
      <name val="Calibri"/>
      <charset val="134"/>
      <scheme val="minor"/>
    </font>
    <font>
      <sz val="11"/>
      <name val="Calibri"/>
      <charset val="134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135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 wrapText="1"/>
    </xf>
    <xf numFmtId="0" fontId="0" fillId="0" borderId="13" xfId="0" applyFont="1" applyFill="1" applyBorder="1" applyAlignment="1">
      <alignment horizontal="center" vertical="center" wrapText="1"/>
    </xf>
    <xf numFmtId="0" fontId="0" fillId="0" borderId="11" xfId="0" applyFont="1" applyFill="1" applyBorder="1" applyAlignment="1">
      <alignment horizontal="center" vertical="center" wrapText="1"/>
    </xf>
    <xf numFmtId="0" fontId="6" fillId="0" borderId="15" xfId="0" applyFont="1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7" fillId="0" borderId="17" xfId="0" applyFont="1" applyFill="1" applyBorder="1" applyAlignment="1">
      <alignment horizontal="center" vertical="center"/>
    </xf>
    <xf numFmtId="164" fontId="0" fillId="0" borderId="0" xfId="0" applyNumberFormat="1" applyFill="1" applyAlignment="1">
      <alignment horizontal="center" vertical="center"/>
    </xf>
    <xf numFmtId="165" fontId="0" fillId="0" borderId="0" xfId="0" applyNumberFormat="1" applyFill="1" applyAlignment="1">
      <alignment horizontal="center" vertical="center"/>
    </xf>
    <xf numFmtId="166" fontId="0" fillId="0" borderId="18" xfId="0" applyNumberFormat="1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164" fontId="0" fillId="3" borderId="0" xfId="0" applyNumberFormat="1" applyFill="1" applyAlignment="1">
      <alignment horizontal="center" vertical="center"/>
    </xf>
    <xf numFmtId="165" fontId="0" fillId="3" borderId="0" xfId="0" applyNumberFormat="1" applyFill="1" applyAlignment="1">
      <alignment horizontal="center" vertical="center"/>
    </xf>
    <xf numFmtId="165" fontId="0" fillId="3" borderId="18" xfId="0" applyNumberFormat="1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164" fontId="0" fillId="5" borderId="17" xfId="0" applyNumberFormat="1" applyFill="1" applyBorder="1" applyAlignment="1">
      <alignment horizontal="center" vertical="center"/>
    </xf>
    <xf numFmtId="164" fontId="0" fillId="4" borderId="0" xfId="0" applyNumberFormat="1" applyFill="1" applyAlignment="1">
      <alignment horizontal="center" vertical="center"/>
    </xf>
    <xf numFmtId="165" fontId="0" fillId="4" borderId="0" xfId="0" applyNumberFormat="1" applyFill="1" applyAlignment="1">
      <alignment horizontal="center" vertical="center"/>
    </xf>
    <xf numFmtId="165" fontId="0" fillId="4" borderId="18" xfId="0" applyNumberFormat="1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166" fontId="0" fillId="0" borderId="19" xfId="0" applyNumberForma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167" fontId="0" fillId="3" borderId="23" xfId="0" applyNumberFormat="1" applyFill="1" applyBorder="1" applyAlignment="1">
      <alignment horizontal="center" vertical="center"/>
    </xf>
    <xf numFmtId="164" fontId="0" fillId="3" borderId="24" xfId="0" applyNumberFormat="1" applyFill="1" applyBorder="1" applyAlignment="1">
      <alignment horizontal="center" vertical="center"/>
    </xf>
    <xf numFmtId="165" fontId="0" fillId="3" borderId="24" xfId="0" applyNumberFormat="1" applyFill="1" applyBorder="1" applyAlignment="1">
      <alignment horizontal="center" vertical="center"/>
    </xf>
    <xf numFmtId="166" fontId="0" fillId="3" borderId="25" xfId="0" applyNumberFormat="1" applyFill="1" applyBorder="1" applyAlignment="1">
      <alignment horizontal="center" vertical="center"/>
    </xf>
    <xf numFmtId="167" fontId="0" fillId="3" borderId="17" xfId="0" applyNumberFormat="1" applyFill="1" applyBorder="1" applyAlignment="1">
      <alignment horizontal="center" vertical="center"/>
    </xf>
    <xf numFmtId="166" fontId="0" fillId="3" borderId="18" xfId="0" applyNumberFormat="1" applyFill="1" applyBorder="1" applyAlignment="1">
      <alignment horizontal="center" vertical="center"/>
    </xf>
    <xf numFmtId="167" fontId="0" fillId="0" borderId="17" xfId="0" applyNumberFormat="1" applyFill="1" applyBorder="1" applyAlignment="1">
      <alignment horizontal="center" vertical="center"/>
    </xf>
    <xf numFmtId="167" fontId="0" fillId="4" borderId="17" xfId="0" applyNumberFormat="1" applyFill="1" applyBorder="1" applyAlignment="1">
      <alignment horizontal="center" vertical="center"/>
    </xf>
    <xf numFmtId="166" fontId="0" fillId="4" borderId="18" xfId="0" applyNumberFormat="1" applyFill="1" applyBorder="1" applyAlignment="1">
      <alignment horizontal="center" vertical="center"/>
    </xf>
    <xf numFmtId="0" fontId="6" fillId="3" borderId="26" xfId="0" applyFon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167" fontId="0" fillId="3" borderId="27" xfId="0" applyNumberFormat="1" applyFill="1" applyBorder="1" applyAlignment="1">
      <alignment horizontal="center" vertical="center"/>
    </xf>
    <xf numFmtId="164" fontId="0" fillId="3" borderId="8" xfId="0" applyNumberFormat="1" applyFill="1" applyBorder="1" applyAlignment="1">
      <alignment horizontal="center" vertical="center"/>
    </xf>
    <xf numFmtId="165" fontId="0" fillId="3" borderId="8" xfId="0" applyNumberFormat="1" applyFill="1" applyBorder="1" applyAlignment="1">
      <alignment horizontal="center" vertical="center"/>
    </xf>
    <xf numFmtId="166" fontId="0" fillId="3" borderId="28" xfId="0" applyNumberForma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168" fontId="0" fillId="0" borderId="24" xfId="0" applyNumberFormat="1" applyBorder="1" applyAlignment="1">
      <alignment horizontal="center" vertical="center"/>
    </xf>
    <xf numFmtId="164" fontId="0" fillId="0" borderId="24" xfId="0" applyNumberFormat="1" applyBorder="1" applyAlignment="1">
      <alignment horizontal="center" vertical="center"/>
    </xf>
    <xf numFmtId="165" fontId="0" fillId="0" borderId="24" xfId="0" applyNumberFormat="1" applyBorder="1" applyAlignment="1">
      <alignment horizontal="center" vertical="center"/>
    </xf>
    <xf numFmtId="166" fontId="0" fillId="0" borderId="24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169" fontId="0" fillId="0" borderId="29" xfId="0" applyNumberFormat="1" applyBorder="1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169" fontId="0" fillId="0" borderId="24" xfId="0" applyNumberFormat="1" applyBorder="1" applyAlignment="1">
      <alignment horizontal="center" vertical="center"/>
    </xf>
    <xf numFmtId="0" fontId="0" fillId="0" borderId="0" xfId="0" applyBorder="1" applyAlignment="1">
      <alignment horizontal="left" vertical="center" wrapText="1"/>
    </xf>
    <xf numFmtId="0" fontId="0" fillId="0" borderId="0" xfId="0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15" xfId="0" applyBorder="1" applyAlignment="1">
      <alignment horizontal="left" vertical="center" wrapText="1"/>
    </xf>
    <xf numFmtId="0" fontId="0" fillId="0" borderId="15" xfId="0" applyBorder="1" applyAlignment="1">
      <alignment horizontal="center" vertical="center"/>
    </xf>
    <xf numFmtId="165" fontId="0" fillId="0" borderId="15" xfId="0" applyNumberFormat="1" applyBorder="1" applyAlignment="1">
      <alignment horizontal="center" vertical="center"/>
    </xf>
    <xf numFmtId="165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31" xfId="0" applyBorder="1" applyAlignment="1">
      <alignment horizontal="left" vertical="center" wrapText="1"/>
    </xf>
    <xf numFmtId="0" fontId="0" fillId="0" borderId="31" xfId="0" applyBorder="1" applyAlignment="1">
      <alignment horizontal="center" vertical="center"/>
    </xf>
    <xf numFmtId="165" fontId="0" fillId="0" borderId="31" xfId="0" applyNumberFormat="1" applyBorder="1" applyAlignment="1">
      <alignment horizontal="center" vertical="center"/>
    </xf>
    <xf numFmtId="165" fontId="0" fillId="0" borderId="32" xfId="0" applyNumberFormat="1" applyBorder="1" applyAlignment="1">
      <alignment horizontal="center" vertical="center"/>
    </xf>
    <xf numFmtId="169" fontId="0" fillId="0" borderId="32" xfId="0" applyNumberFormat="1" applyBorder="1" applyAlignment="1">
      <alignment horizontal="center" vertical="center"/>
    </xf>
    <xf numFmtId="166" fontId="0" fillId="0" borderId="0" xfId="0" applyNumberFormat="1" applyFill="1" applyBorder="1" applyAlignment="1">
      <alignment horizontal="center" vertical="center"/>
    </xf>
    <xf numFmtId="165" fontId="0" fillId="3" borderId="0" xfId="0" applyNumberFormat="1" applyFill="1" applyBorder="1" applyAlignment="1">
      <alignment horizontal="center" vertical="center"/>
    </xf>
    <xf numFmtId="165" fontId="0" fillId="4" borderId="0" xfId="0" applyNumberFormat="1" applyFill="1" applyBorder="1" applyAlignment="1">
      <alignment horizontal="center" vertical="center"/>
    </xf>
    <xf numFmtId="166" fontId="0" fillId="0" borderId="29" xfId="0" applyNumberFormat="1" applyFill="1" applyBorder="1" applyAlignment="1">
      <alignment horizontal="center" vertical="center"/>
    </xf>
    <xf numFmtId="166" fontId="0" fillId="3" borderId="24" xfId="0" applyNumberFormat="1" applyFill="1" applyBorder="1" applyAlignment="1">
      <alignment horizontal="center" vertical="center"/>
    </xf>
    <xf numFmtId="166" fontId="0" fillId="3" borderId="0" xfId="0" applyNumberFormat="1" applyFill="1" applyBorder="1" applyAlignment="1">
      <alignment horizontal="center" vertical="center"/>
    </xf>
    <xf numFmtId="166" fontId="0" fillId="4" borderId="0" xfId="0" applyNumberFormat="1" applyFill="1" applyBorder="1" applyAlignment="1">
      <alignment horizontal="center" vertical="center"/>
    </xf>
    <xf numFmtId="166" fontId="0" fillId="3" borderId="8" xfId="0" applyNumberFormat="1" applyFill="1" applyBorder="1" applyAlignment="1">
      <alignment horizontal="center" vertical="center"/>
    </xf>
    <xf numFmtId="0" fontId="0" fillId="6" borderId="15" xfId="0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164" fontId="3" fillId="0" borderId="0" xfId="0" applyNumberFormat="1" applyFont="1" applyFill="1" applyBorder="1" applyAlignment="1">
      <alignment horizontal="center" vertical="center"/>
    </xf>
    <xf numFmtId="165" fontId="3" fillId="0" borderId="0" xfId="0" applyNumberFormat="1" applyFont="1" applyFill="1" applyBorder="1" applyAlignment="1">
      <alignment horizontal="center" vertical="center"/>
    </xf>
    <xf numFmtId="166" fontId="3" fillId="0" borderId="0" xfId="0" applyNumberFormat="1" applyFont="1" applyFill="1" applyBorder="1" applyAlignment="1">
      <alignment horizontal="center" vertical="center"/>
    </xf>
    <xf numFmtId="169" fontId="3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11" fillId="0" borderId="0" xfId="0" applyFont="1" applyFill="1" applyBorder="1" applyAlignment="1">
      <alignment horizontal="center" vertical="center"/>
    </xf>
    <xf numFmtId="168" fontId="3" fillId="0" borderId="0" xfId="0" applyNumberFormat="1" applyFont="1" applyFill="1" applyBorder="1" applyAlignment="1">
      <alignment horizontal="center" vertical="center"/>
    </xf>
    <xf numFmtId="0" fontId="0" fillId="0" borderId="21" xfId="0" applyBorder="1" applyAlignment="1">
      <alignment horizontal="left" vertical="center" wrapText="1"/>
    </xf>
    <xf numFmtId="0" fontId="0" fillId="0" borderId="21" xfId="0" applyBorder="1" applyAlignment="1">
      <alignment horizontal="center" vertical="center"/>
    </xf>
    <xf numFmtId="0" fontId="0" fillId="0" borderId="0" xfId="0" applyFill="1" applyBorder="1" applyAlignment="1">
      <alignment horizontal="left" vertical="center" wrapText="1"/>
    </xf>
    <xf numFmtId="0" fontId="0" fillId="0" borderId="0" xfId="0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7" borderId="14" xfId="0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left" vertical="center"/>
    </xf>
    <xf numFmtId="0" fontId="5" fillId="0" borderId="14" xfId="0" applyFont="1" applyFill="1" applyBorder="1" applyAlignment="1">
      <alignment horizontal="left" vertical="center" wrapText="1"/>
    </xf>
    <xf numFmtId="0" fontId="10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3" borderId="14" xfId="0" applyFont="1" applyFill="1" applyBorder="1" applyAlignment="1">
      <alignment horizontal="left" vertical="center" wrapText="1"/>
    </xf>
    <xf numFmtId="0" fontId="5" fillId="4" borderId="14" xfId="0" applyFont="1" applyFill="1" applyBorder="1" applyAlignment="1">
      <alignment horizontal="left" vertical="center" wrapText="1"/>
    </xf>
    <xf numFmtId="0" fontId="5" fillId="3" borderId="7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3" borderId="2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/>
    </xf>
    <xf numFmtId="164" fontId="1" fillId="0" borderId="0" xfId="0" applyNumberFormat="1" applyFont="1" applyFill="1" applyBorder="1" applyAlignment="1">
      <alignment horizontal="left" vertical="center"/>
    </xf>
    <xf numFmtId="0" fontId="0" fillId="0" borderId="24" xfId="0" applyBorder="1"/>
    <xf numFmtId="0" fontId="0" fillId="0" borderId="0" xfId="0" applyBorder="1"/>
    <xf numFmtId="0" fontId="0" fillId="0" borderId="8" xfId="0" applyBorder="1"/>
    <xf numFmtId="0" fontId="0" fillId="0" borderId="0" xfId="0" applyFill="1" applyBorder="1"/>
    <xf numFmtId="0" fontId="1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5B819B-10A4-4E19-AABC-B6927B8BFB59}" name="Table1" displayName="Table1" ref="A1:D21" totalsRowShown="0">
  <autoFilter ref="A1:D21" xr:uid="{0F5B819B-10A4-4E19-AABC-B6927B8BFB59}">
    <filterColumn colId="0">
      <filters>
        <filter val="France"/>
      </filters>
    </filterColumn>
  </autoFilter>
  <tableColumns count="4">
    <tableColumn id="1" xr3:uid="{D049F59D-62CE-4924-9191-0BFDEFCD5F2C}" name="Location"/>
    <tableColumn id="2" xr3:uid="{EA09A6F0-59E1-4698-8C09-1E6F2EF55BCB}" name="Airport"/>
    <tableColumn id="3" xr3:uid="{5FFB59B4-899D-40CE-9E06-DE9C56A265FF}" name="Approx Distance (m)"/>
    <tableColumn id="4" xr3:uid="{7308F1C7-4456-4968-9C43-70AF2F820969}" name="Airport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lobalair.com/aircraft-specifications/sikorsky/sikorsky-s-64-specifications/16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2"/>
  <sheetViews>
    <sheetView zoomScale="43" zoomScaleNormal="55" workbookViewId="0">
      <selection activeCell="C82" sqref="C82"/>
    </sheetView>
  </sheetViews>
  <sheetFormatPr defaultColWidth="9" defaultRowHeight="14.5"/>
  <cols>
    <col min="1" max="1" width="26.54296875" style="1" customWidth="1"/>
    <col min="2" max="2" width="10.54296875" style="2" customWidth="1"/>
    <col min="3" max="3" width="37.6328125" style="2" customWidth="1"/>
    <col min="4" max="10" width="10.81640625" style="2" customWidth="1"/>
    <col min="11" max="11" width="16.90625" style="2" customWidth="1"/>
    <col min="12" max="22" width="10.81640625" style="2" customWidth="1"/>
    <col min="23" max="16384" width="9" style="2"/>
  </cols>
  <sheetData>
    <row r="1" spans="1:22">
      <c r="A1" s="3" t="s">
        <v>0</v>
      </c>
      <c r="B1" s="4">
        <v>47</v>
      </c>
      <c r="E1" s="5" t="s">
        <v>1</v>
      </c>
      <c r="F1" s="6" t="s">
        <v>79</v>
      </c>
    </row>
    <row r="2" spans="1:22">
      <c r="A2" s="3" t="s">
        <v>95</v>
      </c>
      <c r="B2" s="7">
        <v>500</v>
      </c>
      <c r="C2" s="2" t="s">
        <v>3</v>
      </c>
      <c r="F2" s="6" t="s">
        <v>109</v>
      </c>
    </row>
    <row r="3" spans="1:22">
      <c r="A3" s="3" t="s">
        <v>144</v>
      </c>
      <c r="B3" s="8">
        <v>500</v>
      </c>
      <c r="C3" s="2" t="s">
        <v>4</v>
      </c>
      <c r="F3" s="109" t="s">
        <v>81</v>
      </c>
    </row>
    <row r="4" spans="1:22">
      <c r="A4" s="3" t="s">
        <v>145</v>
      </c>
      <c r="B4" s="8">
        <v>30000</v>
      </c>
      <c r="C4" s="2" t="s">
        <v>4</v>
      </c>
      <c r="F4" s="111" t="s">
        <v>143</v>
      </c>
    </row>
    <row r="5" spans="1:22">
      <c r="A5" s="105" t="s">
        <v>146</v>
      </c>
      <c r="B5" s="106">
        <f>B66</f>
        <v>156.33260662064885</v>
      </c>
      <c r="F5" s="6" t="s">
        <v>110</v>
      </c>
    </row>
    <row r="6" spans="1:22">
      <c r="A6" s="107"/>
      <c r="B6" s="108"/>
      <c r="F6" s="111" t="s">
        <v>147</v>
      </c>
    </row>
    <row r="7" spans="1:22">
      <c r="A7" s="107"/>
      <c r="B7" s="108"/>
      <c r="F7" s="111" t="s">
        <v>148</v>
      </c>
    </row>
    <row r="9" spans="1:22" ht="15" thickBot="1"/>
    <row r="10" spans="1:22" ht="35" customHeight="1">
      <c r="A10" s="121" t="s">
        <v>5</v>
      </c>
      <c r="B10" s="122"/>
      <c r="C10" s="123"/>
      <c r="D10" s="115" t="s">
        <v>80</v>
      </c>
      <c r="E10" s="116"/>
      <c r="F10" s="116"/>
      <c r="G10" s="116"/>
      <c r="H10" s="116"/>
      <c r="I10" s="117"/>
      <c r="J10" s="117"/>
      <c r="K10" s="102"/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</row>
    <row r="11" spans="1:22" ht="45" customHeight="1" thickBot="1">
      <c r="A11" s="124"/>
      <c r="B11" s="125"/>
      <c r="C11" s="126"/>
      <c r="D11" s="9" t="s">
        <v>6</v>
      </c>
      <c r="E11" s="10" t="s">
        <v>7</v>
      </c>
      <c r="F11" s="11" t="s">
        <v>8</v>
      </c>
      <c r="G11" s="12" t="s">
        <v>9</v>
      </c>
      <c r="H11" s="13" t="s">
        <v>10</v>
      </c>
      <c r="I11" s="12" t="s">
        <v>78</v>
      </c>
      <c r="J11" s="12" t="s">
        <v>95</v>
      </c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</row>
    <row r="12" spans="1:22" ht="15" customHeight="1">
      <c r="A12" s="114" t="s">
        <v>11</v>
      </c>
      <c r="B12" s="14" t="s">
        <v>12</v>
      </c>
      <c r="C12" s="15" t="s">
        <v>13</v>
      </c>
      <c r="D12" s="16">
        <v>5</v>
      </c>
      <c r="E12" s="17">
        <v>300</v>
      </c>
      <c r="F12" s="18">
        <f>D12*E12</f>
        <v>1500</v>
      </c>
      <c r="G12" s="19">
        <f>F12*0.000621371</f>
        <v>0.93205650000000007</v>
      </c>
      <c r="H12" s="20"/>
      <c r="I12" s="87"/>
      <c r="J12" s="87"/>
      <c r="K12" s="128" t="s">
        <v>166</v>
      </c>
      <c r="L12" s="97"/>
      <c r="M12" s="98"/>
      <c r="N12" s="99"/>
      <c r="O12" s="100"/>
      <c r="P12" s="100"/>
      <c r="Q12" s="96"/>
      <c r="R12" s="97"/>
      <c r="S12" s="98"/>
      <c r="T12" s="99"/>
      <c r="U12" s="100"/>
      <c r="V12" s="100"/>
    </row>
    <row r="13" spans="1:22" ht="15" customHeight="1">
      <c r="A13" s="114"/>
      <c r="B13" s="14" t="s">
        <v>14</v>
      </c>
      <c r="C13" s="15"/>
      <c r="D13" s="16"/>
      <c r="E13" s="21"/>
      <c r="F13" s="18"/>
      <c r="G13" s="19"/>
      <c r="H13" s="20"/>
      <c r="I13" s="87"/>
      <c r="J13" s="87"/>
      <c r="K13" s="96"/>
      <c r="L13" s="96"/>
      <c r="M13" s="98"/>
      <c r="N13" s="99"/>
      <c r="O13" s="100"/>
      <c r="P13" s="100"/>
      <c r="Q13" s="96"/>
      <c r="R13" s="96"/>
      <c r="S13" s="98"/>
      <c r="T13" s="99"/>
      <c r="U13" s="100"/>
      <c r="V13" s="100"/>
    </row>
    <row r="14" spans="1:22" ht="15" customHeight="1">
      <c r="A14" s="118" t="s">
        <v>15</v>
      </c>
      <c r="B14" s="22" t="s">
        <v>12</v>
      </c>
      <c r="C14" s="23"/>
      <c r="D14" s="24"/>
      <c r="E14" s="25">
        <f>I15/D15</f>
        <v>8.5714285714285712</v>
      </c>
      <c r="F14" s="26"/>
      <c r="G14" s="27"/>
      <c r="H14" s="28"/>
      <c r="I14" s="88"/>
      <c r="J14" s="88"/>
      <c r="K14" s="96"/>
      <c r="L14" s="103"/>
      <c r="M14" s="98"/>
      <c r="N14" s="99"/>
      <c r="O14" s="99"/>
      <c r="P14" s="99"/>
      <c r="Q14" s="96"/>
      <c r="R14" s="103"/>
      <c r="S14" s="98"/>
      <c r="T14" s="99"/>
      <c r="U14" s="99"/>
      <c r="V14" s="99"/>
    </row>
    <row r="15" spans="1:22" ht="15" customHeight="1">
      <c r="A15" s="118"/>
      <c r="B15" s="22" t="s">
        <v>14</v>
      </c>
      <c r="C15" s="23" t="s">
        <v>16</v>
      </c>
      <c r="D15" s="24">
        <v>7</v>
      </c>
      <c r="E15" s="29"/>
      <c r="F15" s="26"/>
      <c r="G15" s="27"/>
      <c r="H15" s="28"/>
      <c r="I15" s="88">
        <v>60</v>
      </c>
      <c r="J15" s="88">
        <f>I15</f>
        <v>60</v>
      </c>
      <c r="K15" s="113" t="s">
        <v>149</v>
      </c>
      <c r="L15" s="96"/>
      <c r="M15" s="98"/>
      <c r="N15" s="99"/>
      <c r="O15" s="99"/>
      <c r="P15" s="99"/>
      <c r="Q15" s="96"/>
      <c r="R15" s="96"/>
      <c r="S15" s="98"/>
      <c r="T15" s="99"/>
      <c r="U15" s="99"/>
      <c r="V15" s="99"/>
    </row>
    <row r="16" spans="1:22" ht="15" customHeight="1">
      <c r="A16" s="114" t="s">
        <v>17</v>
      </c>
      <c r="B16" s="14" t="s">
        <v>12</v>
      </c>
      <c r="C16" s="15" t="s">
        <v>18</v>
      </c>
      <c r="D16" s="16">
        <v>30</v>
      </c>
      <c r="E16" s="21">
        <v>20</v>
      </c>
      <c r="F16" s="18">
        <f>D16*E16</f>
        <v>600</v>
      </c>
      <c r="G16" s="19">
        <f>F16*0.000621371</f>
        <v>0.3728226</v>
      </c>
      <c r="H16" s="20"/>
      <c r="I16" s="87"/>
      <c r="J16" s="87"/>
      <c r="K16" s="96"/>
      <c r="L16" s="96"/>
      <c r="M16" s="98"/>
      <c r="N16" s="99"/>
      <c r="O16" s="100"/>
      <c r="P16" s="100"/>
      <c r="Q16" s="96"/>
      <c r="R16" s="96"/>
      <c r="S16" s="98"/>
      <c r="T16" s="99"/>
      <c r="U16" s="100"/>
      <c r="V16" s="100"/>
    </row>
    <row r="17" spans="1:22" ht="15" customHeight="1">
      <c r="A17" s="114"/>
      <c r="B17" s="14" t="s">
        <v>14</v>
      </c>
      <c r="C17" s="15" t="s">
        <v>19</v>
      </c>
      <c r="D17" s="110">
        <v>5</v>
      </c>
      <c r="E17" s="21"/>
      <c r="F17" s="18"/>
      <c r="G17" s="19"/>
      <c r="H17" s="20"/>
      <c r="I17" s="88">
        <f>D17*E16</f>
        <v>100</v>
      </c>
      <c r="J17" s="87">
        <f>J15+I17</f>
        <v>160</v>
      </c>
      <c r="K17" s="112" t="s">
        <v>150</v>
      </c>
      <c r="L17" s="96"/>
      <c r="M17" s="98"/>
      <c r="N17" s="99"/>
      <c r="O17" s="100"/>
      <c r="P17" s="100"/>
      <c r="Q17" s="96"/>
      <c r="R17" s="96"/>
      <c r="S17" s="98"/>
      <c r="T17" s="99"/>
      <c r="U17" s="100"/>
      <c r="V17" s="100"/>
    </row>
    <row r="18" spans="1:22" ht="15" customHeight="1">
      <c r="A18" s="118" t="s">
        <v>20</v>
      </c>
      <c r="B18" s="22" t="s">
        <v>12</v>
      </c>
      <c r="C18" s="23" t="s">
        <v>21</v>
      </c>
      <c r="D18" s="24">
        <v>0</v>
      </c>
      <c r="E18" s="30">
        <v>0</v>
      </c>
      <c r="F18" s="26">
        <f>D18*E18</f>
        <v>0</v>
      </c>
      <c r="G18" s="27">
        <f>F18*0.000621371</f>
        <v>0</v>
      </c>
      <c r="H18" s="28"/>
      <c r="I18" s="88"/>
      <c r="J18" s="88"/>
      <c r="K18" s="96"/>
      <c r="L18" s="97"/>
      <c r="M18" s="98"/>
      <c r="N18" s="99"/>
      <c r="O18" s="99"/>
      <c r="P18" s="99"/>
      <c r="Q18" s="96"/>
      <c r="R18" s="97"/>
      <c r="S18" s="98"/>
      <c r="T18" s="99"/>
      <c r="U18" s="99"/>
      <c r="V18" s="99"/>
    </row>
    <row r="19" spans="1:22" ht="15" customHeight="1">
      <c r="A19" s="118"/>
      <c r="B19" s="22" t="s">
        <v>14</v>
      </c>
      <c r="C19" s="23"/>
      <c r="D19" s="24"/>
      <c r="E19" s="29"/>
      <c r="F19" s="26"/>
      <c r="G19" s="27"/>
      <c r="H19" s="28"/>
      <c r="I19" s="88"/>
      <c r="J19" s="88"/>
      <c r="K19" s="96"/>
      <c r="L19" s="96"/>
      <c r="M19" s="98"/>
      <c r="N19" s="99"/>
      <c r="O19" s="99"/>
      <c r="P19" s="99"/>
      <c r="Q19" s="96"/>
      <c r="R19" s="96"/>
      <c r="S19" s="98"/>
      <c r="T19" s="99"/>
      <c r="U19" s="99"/>
      <c r="V19" s="99"/>
    </row>
    <row r="20" spans="1:22" ht="15" customHeight="1">
      <c r="A20" s="114" t="s">
        <v>22</v>
      </c>
      <c r="B20" s="14" t="s">
        <v>12</v>
      </c>
      <c r="C20" s="15" t="s">
        <v>23</v>
      </c>
      <c r="D20" s="16">
        <v>80</v>
      </c>
      <c r="E20" s="21">
        <f>I21/D21</f>
        <v>34</v>
      </c>
      <c r="F20" s="18">
        <f>D20*E20</f>
        <v>2720</v>
      </c>
      <c r="G20" s="19">
        <f>F20*0.000621371</f>
        <v>1.6901291199999999</v>
      </c>
      <c r="H20" s="20"/>
      <c r="I20" s="87"/>
      <c r="J20" s="87"/>
      <c r="K20" s="96"/>
      <c r="L20" s="96"/>
      <c r="M20" s="98"/>
      <c r="N20" s="99"/>
      <c r="O20" s="100"/>
      <c r="P20" s="100"/>
      <c r="Q20" s="96"/>
      <c r="R20" s="96"/>
      <c r="S20" s="98"/>
      <c r="T20" s="99"/>
      <c r="U20" s="100"/>
      <c r="V20" s="100"/>
    </row>
    <row r="21" spans="1:22" ht="15" customHeight="1">
      <c r="A21" s="114"/>
      <c r="B21" s="14" t="s">
        <v>14</v>
      </c>
      <c r="C21" s="15" t="s">
        <v>24</v>
      </c>
      <c r="D21" s="110">
        <v>10</v>
      </c>
      <c r="E21" s="21"/>
      <c r="F21" s="18"/>
      <c r="G21" s="19"/>
      <c r="H21" s="20"/>
      <c r="I21" s="88">
        <f>J21-J17</f>
        <v>340</v>
      </c>
      <c r="J21" s="87">
        <f>500</f>
        <v>500</v>
      </c>
      <c r="K21" s="96"/>
      <c r="L21" s="96"/>
      <c r="M21" s="98"/>
      <c r="N21" s="99"/>
      <c r="O21" s="100"/>
      <c r="P21" s="100"/>
      <c r="Q21" s="96"/>
      <c r="R21" s="96"/>
      <c r="S21" s="98"/>
      <c r="T21" s="99"/>
      <c r="U21" s="100"/>
      <c r="V21" s="100"/>
    </row>
    <row r="22" spans="1:22" ht="15" customHeight="1">
      <c r="A22" s="119" t="s">
        <v>72</v>
      </c>
      <c r="B22" s="31" t="s">
        <v>12</v>
      </c>
      <c r="C22" s="32" t="s">
        <v>25</v>
      </c>
      <c r="D22" s="110">
        <v>120</v>
      </c>
      <c r="E22" s="34">
        <f>F22/D22</f>
        <v>1000</v>
      </c>
      <c r="F22" s="35">
        <f>15*8*1000</f>
        <v>120000</v>
      </c>
      <c r="G22" s="36">
        <f>F22*0.000621371</f>
        <v>74.564520000000002</v>
      </c>
      <c r="H22" s="37"/>
      <c r="I22" s="89"/>
      <c r="J22" s="89"/>
      <c r="K22" s="128" t="s">
        <v>168</v>
      </c>
      <c r="L22" s="98"/>
      <c r="M22" s="98"/>
      <c r="N22" s="99"/>
      <c r="O22" s="99"/>
      <c r="P22" s="99"/>
      <c r="Q22" s="96"/>
      <c r="R22" s="98"/>
      <c r="S22" s="98"/>
      <c r="T22" s="99"/>
      <c r="U22" s="99"/>
      <c r="V22" s="99"/>
    </row>
    <row r="23" spans="1:22" ht="15" customHeight="1">
      <c r="A23" s="119"/>
      <c r="B23" s="31" t="s">
        <v>14</v>
      </c>
      <c r="C23" s="32"/>
      <c r="D23" s="33"/>
      <c r="E23" s="38"/>
      <c r="F23" s="35"/>
      <c r="G23" s="36"/>
      <c r="H23" s="37"/>
      <c r="I23" s="89"/>
      <c r="J23" s="89"/>
      <c r="K23" s="128" t="s">
        <v>167</v>
      </c>
      <c r="L23" s="98">
        <f>(E12+E14+E16+E20+(E22/2))/60</f>
        <v>14.376190476190477</v>
      </c>
      <c r="M23" s="129" t="s">
        <v>174</v>
      </c>
      <c r="N23" s="99"/>
      <c r="O23" s="99"/>
      <c r="P23" s="99"/>
      <c r="Q23" s="96"/>
      <c r="R23" s="96"/>
      <c r="S23" s="98"/>
      <c r="T23" s="99"/>
      <c r="U23" s="99"/>
      <c r="V23" s="99"/>
    </row>
    <row r="24" spans="1:22" ht="15" customHeight="1">
      <c r="A24" s="114" t="s">
        <v>76</v>
      </c>
      <c r="B24" s="14" t="s">
        <v>12</v>
      </c>
      <c r="C24" s="15" t="s">
        <v>27</v>
      </c>
      <c r="D24" s="16">
        <f>SQRT(50^2-D25^2)</f>
        <v>48.989794855663561</v>
      </c>
      <c r="E24" s="21">
        <f>I25/D25</f>
        <v>48</v>
      </c>
      <c r="F24" s="18">
        <f>D24*E24</f>
        <v>2351.5101530718512</v>
      </c>
      <c r="G24" s="19">
        <f>F24*0.000621371</f>
        <v>1.4611602153244092</v>
      </c>
      <c r="H24" s="20"/>
      <c r="I24" s="87"/>
      <c r="J24" s="87"/>
      <c r="K24" s="113" t="s">
        <v>164</v>
      </c>
      <c r="L24" s="96"/>
      <c r="M24" s="98"/>
      <c r="N24" s="99"/>
      <c r="O24" s="100"/>
      <c r="P24" s="100"/>
      <c r="Q24" s="96"/>
      <c r="R24" s="96"/>
      <c r="S24" s="98"/>
      <c r="T24" s="99"/>
      <c r="U24" s="100"/>
      <c r="V24" s="100"/>
    </row>
    <row r="25" spans="1:22" ht="15" customHeight="1">
      <c r="A25" s="114"/>
      <c r="B25" s="14" t="s">
        <v>14</v>
      </c>
      <c r="C25" s="15" t="s">
        <v>28</v>
      </c>
      <c r="D25" s="110">
        <f>D21</f>
        <v>10</v>
      </c>
      <c r="E25" s="21"/>
      <c r="F25" s="18"/>
      <c r="G25" s="19"/>
      <c r="H25" s="20"/>
      <c r="I25" s="88">
        <f>J21-J25</f>
        <v>480</v>
      </c>
      <c r="J25" s="87">
        <f>20</f>
        <v>20</v>
      </c>
      <c r="K25" s="113" t="s">
        <v>160</v>
      </c>
      <c r="L25" s="96"/>
      <c r="M25" s="98"/>
      <c r="N25" s="99"/>
      <c r="O25" s="100"/>
      <c r="P25" s="100"/>
      <c r="Q25" s="96"/>
      <c r="R25" s="96"/>
      <c r="S25" s="98"/>
      <c r="T25" s="99"/>
      <c r="U25" s="100"/>
      <c r="V25" s="100"/>
    </row>
    <row r="26" spans="1:22" ht="15" customHeight="1">
      <c r="A26" s="118" t="s">
        <v>75</v>
      </c>
      <c r="B26" s="22" t="s">
        <v>12</v>
      </c>
      <c r="C26" s="23" t="s">
        <v>165</v>
      </c>
      <c r="D26" s="24">
        <v>50</v>
      </c>
      <c r="E26" s="30">
        <v>5</v>
      </c>
      <c r="F26" s="26">
        <f>D26*E26</f>
        <v>250</v>
      </c>
      <c r="G26" s="27">
        <f>F26*0.000621371</f>
        <v>0.15534275</v>
      </c>
      <c r="H26" s="28"/>
      <c r="I26" s="88"/>
      <c r="J26" s="88"/>
      <c r="K26" s="128" t="s">
        <v>169</v>
      </c>
      <c r="L26" s="97"/>
      <c r="M26" s="98"/>
      <c r="N26" s="99"/>
      <c r="O26" s="99"/>
      <c r="P26" s="99"/>
      <c r="Q26" s="96"/>
      <c r="R26" s="97"/>
      <c r="S26" s="98"/>
      <c r="T26" s="99"/>
      <c r="U26" s="99"/>
      <c r="V26" s="99"/>
    </row>
    <row r="27" spans="1:22" ht="15" customHeight="1">
      <c r="A27" s="118"/>
      <c r="B27" s="22" t="s">
        <v>14</v>
      </c>
      <c r="C27" s="23"/>
      <c r="D27" s="24"/>
      <c r="E27" s="29"/>
      <c r="F27" s="26"/>
      <c r="G27" s="27"/>
      <c r="H27" s="28"/>
      <c r="I27" s="88"/>
      <c r="J27" s="88"/>
      <c r="K27" s="128" t="s">
        <v>170</v>
      </c>
      <c r="L27" s="96"/>
      <c r="M27" s="98"/>
      <c r="N27" s="99"/>
      <c r="O27" s="99"/>
      <c r="P27" s="99"/>
      <c r="Q27" s="96"/>
      <c r="R27" s="96"/>
      <c r="S27" s="98"/>
      <c r="T27" s="99"/>
      <c r="U27" s="99"/>
      <c r="V27" s="99"/>
    </row>
    <row r="28" spans="1:22" ht="15" customHeight="1">
      <c r="A28" s="114" t="s">
        <v>74</v>
      </c>
      <c r="B28" s="14" t="s">
        <v>12</v>
      </c>
      <c r="C28" s="15" t="s">
        <v>23</v>
      </c>
      <c r="D28" s="16">
        <f>D24</f>
        <v>48.989794855663561</v>
      </c>
      <c r="E28" s="21">
        <f>I29/D29</f>
        <v>48</v>
      </c>
      <c r="F28" s="18">
        <f>D28*E28</f>
        <v>2351.5101530718512</v>
      </c>
      <c r="G28" s="19">
        <f>F28*0.000621371</f>
        <v>1.4611602153244092</v>
      </c>
      <c r="H28" s="20"/>
      <c r="I28" s="87"/>
      <c r="J28" s="87"/>
      <c r="K28" s="96"/>
      <c r="L28" s="96"/>
      <c r="M28" s="98"/>
      <c r="N28" s="99"/>
      <c r="O28" s="100"/>
      <c r="P28" s="100"/>
      <c r="Q28" s="96"/>
      <c r="R28" s="96"/>
      <c r="S28" s="98"/>
      <c r="T28" s="99"/>
      <c r="U28" s="100"/>
      <c r="V28" s="100"/>
    </row>
    <row r="29" spans="1:22" ht="15" customHeight="1">
      <c r="A29" s="114"/>
      <c r="B29" s="14" t="s">
        <v>14</v>
      </c>
      <c r="C29" s="15" t="s">
        <v>24</v>
      </c>
      <c r="D29" s="110">
        <f>D21</f>
        <v>10</v>
      </c>
      <c r="E29" s="21"/>
      <c r="F29" s="18"/>
      <c r="G29" s="19"/>
      <c r="H29" s="20"/>
      <c r="I29" s="88">
        <f>J29-J25</f>
        <v>480</v>
      </c>
      <c r="J29" s="87">
        <f>500</f>
        <v>500</v>
      </c>
      <c r="K29" s="96"/>
      <c r="L29" s="96"/>
      <c r="M29" s="98"/>
      <c r="N29" s="99"/>
      <c r="O29" s="100"/>
      <c r="P29" s="100"/>
      <c r="Q29" s="96"/>
      <c r="R29" s="96"/>
      <c r="S29" s="98"/>
      <c r="T29" s="99"/>
      <c r="U29" s="100"/>
      <c r="V29" s="100"/>
    </row>
    <row r="30" spans="1:22" ht="15" customHeight="1">
      <c r="A30" s="119" t="s">
        <v>73</v>
      </c>
      <c r="B30" s="31" t="s">
        <v>12</v>
      </c>
      <c r="C30" s="32" t="s">
        <v>25</v>
      </c>
      <c r="D30" s="110">
        <v>120</v>
      </c>
      <c r="E30" s="34">
        <f>F30/D30</f>
        <v>1000</v>
      </c>
      <c r="F30" s="35">
        <f>F22</f>
        <v>120000</v>
      </c>
      <c r="G30" s="36">
        <f>F30*0.000621371</f>
        <v>74.564520000000002</v>
      </c>
      <c r="H30" s="37"/>
      <c r="I30" s="89"/>
      <c r="J30" s="89"/>
      <c r="K30" s="96"/>
      <c r="L30" s="98"/>
      <c r="M30" s="98"/>
      <c r="N30" s="99"/>
      <c r="O30" s="99"/>
      <c r="P30" s="99"/>
      <c r="Q30" s="96"/>
      <c r="R30" s="98"/>
      <c r="S30" s="98"/>
      <c r="T30" s="99"/>
      <c r="U30" s="99"/>
      <c r="V30" s="99"/>
    </row>
    <row r="31" spans="1:22" ht="15" customHeight="1">
      <c r="A31" s="119"/>
      <c r="B31" s="31" t="s">
        <v>14</v>
      </c>
      <c r="C31" s="32"/>
      <c r="D31" s="33"/>
      <c r="E31" s="38"/>
      <c r="F31" s="35"/>
      <c r="G31" s="36"/>
      <c r="H31" s="37"/>
      <c r="I31" s="89"/>
      <c r="J31" s="89"/>
      <c r="K31" s="96"/>
      <c r="L31" s="96"/>
      <c r="M31" s="98"/>
      <c r="N31" s="99"/>
      <c r="O31" s="99"/>
      <c r="P31" s="99"/>
      <c r="Q31" s="96"/>
      <c r="R31" s="96"/>
      <c r="S31" s="98"/>
      <c r="T31" s="99"/>
      <c r="U31" s="99"/>
      <c r="V31" s="99"/>
    </row>
    <row r="32" spans="1:22" ht="15" customHeight="1">
      <c r="A32" s="114" t="s">
        <v>26</v>
      </c>
      <c r="B32" s="14" t="s">
        <v>12</v>
      </c>
      <c r="C32" s="15" t="s">
        <v>27</v>
      </c>
      <c r="D32" s="16">
        <f>D20</f>
        <v>80</v>
      </c>
      <c r="E32" s="21">
        <f>I33/D33</f>
        <v>34</v>
      </c>
      <c r="F32" s="18">
        <f>D32*E32</f>
        <v>2720</v>
      </c>
      <c r="G32" s="19">
        <f>F32*0.000621371</f>
        <v>1.6901291199999999</v>
      </c>
      <c r="H32" s="20"/>
      <c r="I32" s="87"/>
      <c r="J32" s="87"/>
      <c r="K32" s="96"/>
      <c r="L32" s="96"/>
      <c r="M32" s="98"/>
      <c r="N32" s="99"/>
      <c r="O32" s="100"/>
      <c r="P32" s="100"/>
      <c r="Q32" s="96"/>
      <c r="R32" s="96"/>
      <c r="S32" s="98"/>
      <c r="T32" s="99"/>
      <c r="U32" s="100"/>
      <c r="V32" s="100"/>
    </row>
    <row r="33" spans="1:22" ht="15" customHeight="1">
      <c r="A33" s="114"/>
      <c r="B33" s="14" t="s">
        <v>14</v>
      </c>
      <c r="C33" s="15" t="s">
        <v>28</v>
      </c>
      <c r="D33" s="110">
        <f>D21</f>
        <v>10</v>
      </c>
      <c r="E33" s="21"/>
      <c r="F33" s="18"/>
      <c r="G33" s="19"/>
      <c r="H33" s="20"/>
      <c r="I33" s="88">
        <f>J29-J33</f>
        <v>340</v>
      </c>
      <c r="J33" s="87">
        <f>J37+I37</f>
        <v>160</v>
      </c>
      <c r="K33" s="96"/>
      <c r="L33" s="96"/>
      <c r="M33" s="98"/>
      <c r="N33" s="99"/>
      <c r="O33" s="100"/>
      <c r="P33" s="100"/>
      <c r="Q33" s="96"/>
      <c r="R33" s="96"/>
      <c r="S33" s="98"/>
      <c r="T33" s="99"/>
      <c r="U33" s="100"/>
      <c r="V33" s="100"/>
    </row>
    <row r="34" spans="1:22" ht="15" customHeight="1">
      <c r="A34" s="118" t="s">
        <v>29</v>
      </c>
      <c r="B34" s="22" t="s">
        <v>12</v>
      </c>
      <c r="C34" s="23" t="s">
        <v>30</v>
      </c>
      <c r="D34" s="24">
        <v>0</v>
      </c>
      <c r="E34" s="30">
        <v>0</v>
      </c>
      <c r="F34" s="26">
        <f>D34*E34</f>
        <v>0</v>
      </c>
      <c r="G34" s="27">
        <f>(F34*0.000621371)</f>
        <v>0</v>
      </c>
      <c r="H34" s="28"/>
      <c r="I34" s="88"/>
      <c r="J34" s="88"/>
      <c r="K34" s="96"/>
      <c r="L34" s="97"/>
      <c r="M34" s="98"/>
      <c r="N34" s="99"/>
      <c r="O34" s="99"/>
      <c r="P34" s="99"/>
      <c r="Q34" s="96"/>
      <c r="R34" s="97"/>
      <c r="S34" s="98"/>
      <c r="T34" s="99"/>
      <c r="U34" s="99"/>
      <c r="V34" s="99"/>
    </row>
    <row r="35" spans="1:22" ht="15" customHeight="1">
      <c r="A35" s="118"/>
      <c r="B35" s="22" t="s">
        <v>14</v>
      </c>
      <c r="C35" s="23"/>
      <c r="D35" s="24"/>
      <c r="E35" s="29"/>
      <c r="F35" s="26"/>
      <c r="G35" s="27"/>
      <c r="H35" s="28"/>
      <c r="I35" s="88"/>
      <c r="J35" s="88"/>
      <c r="K35" s="96"/>
      <c r="L35" s="96"/>
      <c r="M35" s="98"/>
      <c r="N35" s="99"/>
      <c r="O35" s="99"/>
      <c r="P35" s="99"/>
      <c r="Q35" s="96"/>
      <c r="R35" s="96"/>
      <c r="S35" s="98"/>
      <c r="T35" s="99"/>
      <c r="U35" s="99"/>
      <c r="V35" s="99"/>
    </row>
    <row r="36" spans="1:22" ht="15" customHeight="1">
      <c r="A36" s="114" t="s">
        <v>31</v>
      </c>
      <c r="B36" s="14" t="s">
        <v>12</v>
      </c>
      <c r="C36" s="15" t="s">
        <v>32</v>
      </c>
      <c r="D36" s="16">
        <v>30</v>
      </c>
      <c r="E36" s="21">
        <f>E16</f>
        <v>20</v>
      </c>
      <c r="F36" s="18">
        <f>D36*E36</f>
        <v>600</v>
      </c>
      <c r="G36" s="19">
        <f>F36*0.000621371</f>
        <v>0.3728226</v>
      </c>
      <c r="H36" s="20"/>
      <c r="I36" s="87"/>
      <c r="J36" s="87"/>
      <c r="K36" s="96"/>
      <c r="L36" s="96"/>
      <c r="M36" s="98"/>
      <c r="N36" s="99"/>
      <c r="O36" s="100"/>
      <c r="P36" s="100"/>
      <c r="Q36" s="96"/>
      <c r="R36" s="96"/>
      <c r="S36" s="98"/>
      <c r="T36" s="99"/>
      <c r="U36" s="100"/>
      <c r="V36" s="100"/>
    </row>
    <row r="37" spans="1:22" ht="15" customHeight="1">
      <c r="A37" s="114"/>
      <c r="B37" s="14" t="s">
        <v>14</v>
      </c>
      <c r="C37" s="15" t="s">
        <v>33</v>
      </c>
      <c r="D37" s="110">
        <f>D17</f>
        <v>5</v>
      </c>
      <c r="E37" s="21"/>
      <c r="F37" s="18"/>
      <c r="G37" s="19"/>
      <c r="H37" s="20"/>
      <c r="I37" s="88">
        <f>D37*E36</f>
        <v>100</v>
      </c>
      <c r="J37" s="87">
        <f>I39</f>
        <v>60</v>
      </c>
      <c r="K37" s="96"/>
      <c r="L37" s="96"/>
      <c r="M37" s="98"/>
      <c r="N37" s="99"/>
      <c r="O37" s="100"/>
      <c r="P37" s="100"/>
      <c r="Q37" s="96"/>
      <c r="R37" s="96"/>
      <c r="S37" s="98"/>
      <c r="T37" s="99"/>
      <c r="U37" s="100"/>
      <c r="V37" s="100"/>
    </row>
    <row r="38" spans="1:22" ht="15" customHeight="1">
      <c r="A38" s="118" t="s">
        <v>34</v>
      </c>
      <c r="B38" s="22" t="s">
        <v>12</v>
      </c>
      <c r="C38" s="23"/>
      <c r="D38" s="24"/>
      <c r="E38" s="29">
        <f>I39/D39</f>
        <v>8.5714285714285712</v>
      </c>
      <c r="F38" s="26"/>
      <c r="G38" s="27"/>
      <c r="H38" s="28"/>
      <c r="I38" s="88"/>
      <c r="J38" s="88"/>
      <c r="K38" s="96"/>
      <c r="L38" s="96"/>
      <c r="M38" s="98"/>
      <c r="N38" s="99"/>
      <c r="O38" s="99"/>
      <c r="P38" s="99"/>
      <c r="Q38" s="96"/>
      <c r="R38" s="96"/>
      <c r="S38" s="98"/>
      <c r="T38" s="99"/>
      <c r="U38" s="99"/>
      <c r="V38" s="99"/>
    </row>
    <row r="39" spans="1:22" ht="15" customHeight="1">
      <c r="A39" s="118"/>
      <c r="B39" s="22" t="s">
        <v>14</v>
      </c>
      <c r="C39" s="23" t="s">
        <v>35</v>
      </c>
      <c r="D39" s="24">
        <f>D15</f>
        <v>7</v>
      </c>
      <c r="E39" s="29"/>
      <c r="F39" s="26"/>
      <c r="G39" s="27"/>
      <c r="H39" s="28"/>
      <c r="I39" s="88">
        <f>60</f>
        <v>60</v>
      </c>
      <c r="J39" s="88">
        <f>J37-I39</f>
        <v>0</v>
      </c>
      <c r="K39" s="96"/>
      <c r="L39" s="96"/>
      <c r="M39" s="98"/>
      <c r="N39" s="99"/>
      <c r="O39" s="99"/>
      <c r="P39" s="99"/>
      <c r="Q39" s="96"/>
      <c r="R39" s="96"/>
      <c r="S39" s="98"/>
      <c r="T39" s="99"/>
      <c r="U39" s="99"/>
      <c r="V39" s="99"/>
    </row>
    <row r="40" spans="1:22" ht="15" customHeight="1">
      <c r="A40" s="114" t="s">
        <v>36</v>
      </c>
      <c r="B40" s="14" t="s">
        <v>12</v>
      </c>
      <c r="C40" s="15" t="s">
        <v>37</v>
      </c>
      <c r="D40" s="16">
        <v>5</v>
      </c>
      <c r="E40" s="17">
        <v>300</v>
      </c>
      <c r="F40" s="18">
        <f>D40*E40</f>
        <v>1500</v>
      </c>
      <c r="G40" s="19">
        <f>F40*0.000621371</f>
        <v>0.93205650000000007</v>
      </c>
      <c r="H40" s="20"/>
      <c r="I40" s="87"/>
      <c r="J40" s="87"/>
      <c r="K40" s="96"/>
      <c r="L40" s="97"/>
      <c r="M40" s="98"/>
      <c r="N40" s="99"/>
      <c r="O40" s="100"/>
      <c r="P40" s="100"/>
      <c r="Q40" s="96"/>
      <c r="R40" s="97"/>
      <c r="S40" s="98"/>
      <c r="T40" s="99"/>
      <c r="U40" s="100"/>
      <c r="V40" s="100"/>
    </row>
    <row r="41" spans="1:22" ht="15" customHeight="1">
      <c r="A41" s="114"/>
      <c r="B41" s="14" t="s">
        <v>14</v>
      </c>
      <c r="C41" s="15"/>
      <c r="D41" s="16"/>
      <c r="E41" s="21"/>
      <c r="F41" s="18"/>
      <c r="G41" s="19"/>
      <c r="H41" s="39"/>
      <c r="I41" s="90"/>
      <c r="J41" s="90"/>
      <c r="K41" s="96"/>
      <c r="L41" s="96"/>
      <c r="M41" s="98"/>
      <c r="N41" s="99"/>
      <c r="O41" s="100"/>
      <c r="P41" s="100"/>
      <c r="Q41" s="96"/>
      <c r="R41" s="96"/>
      <c r="S41" s="98"/>
      <c r="T41" s="99"/>
      <c r="U41" s="100"/>
      <c r="V41" s="100"/>
    </row>
    <row r="42" spans="1:22" ht="15" customHeight="1">
      <c r="A42" s="127" t="s">
        <v>38</v>
      </c>
      <c r="B42" s="40" t="s">
        <v>12</v>
      </c>
      <c r="C42" s="41"/>
      <c r="D42" s="42"/>
      <c r="E42" s="43">
        <f>E14</f>
        <v>8.5714285714285712</v>
      </c>
      <c r="F42" s="44"/>
      <c r="G42" s="45"/>
      <c r="H42" s="46"/>
      <c r="I42" s="91"/>
      <c r="J42" s="91"/>
      <c r="K42" s="101"/>
      <c r="L42" s="101"/>
      <c r="M42" s="101"/>
      <c r="N42" s="101"/>
      <c r="O42" s="101"/>
      <c r="P42" s="101"/>
      <c r="Q42" s="101"/>
      <c r="R42" s="101"/>
      <c r="S42" s="101"/>
      <c r="T42" s="101"/>
      <c r="U42" s="101"/>
      <c r="V42" s="101"/>
    </row>
    <row r="43" spans="1:22" ht="15" customHeight="1">
      <c r="A43" s="118"/>
      <c r="B43" s="22" t="s">
        <v>14</v>
      </c>
      <c r="C43" s="23" t="s">
        <v>39</v>
      </c>
      <c r="D43" s="24">
        <f>D15</f>
        <v>7</v>
      </c>
      <c r="E43" s="47"/>
      <c r="F43" s="26"/>
      <c r="G43" s="27"/>
      <c r="H43" s="48">
        <f>D43*E42*3.28084</f>
        <v>196.85040000000001</v>
      </c>
      <c r="I43" s="88">
        <f>H43*0.3048</f>
        <v>60.000001920000003</v>
      </c>
      <c r="J43" s="92">
        <f>H43</f>
        <v>196.85040000000001</v>
      </c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</row>
    <row r="44" spans="1:22" ht="15" customHeight="1">
      <c r="A44" s="114" t="s">
        <v>40</v>
      </c>
      <c r="B44" s="14" t="s">
        <v>12</v>
      </c>
      <c r="C44" s="15" t="s">
        <v>41</v>
      </c>
      <c r="D44" s="16">
        <f>D16</f>
        <v>30</v>
      </c>
      <c r="E44" s="49">
        <f>E16</f>
        <v>20</v>
      </c>
      <c r="F44" s="18">
        <f>D44*E44</f>
        <v>600</v>
      </c>
      <c r="G44" s="19">
        <f>F44*0.000621371</f>
        <v>0.3728226</v>
      </c>
      <c r="H44" s="20"/>
      <c r="I44" s="87"/>
      <c r="J44" s="87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101"/>
      <c r="V44" s="101"/>
    </row>
    <row r="45" spans="1:22" ht="15" customHeight="1">
      <c r="A45" s="114"/>
      <c r="B45" s="14" t="s">
        <v>14</v>
      </c>
      <c r="C45" s="15" t="s">
        <v>42</v>
      </c>
      <c r="D45" s="16">
        <f>D17</f>
        <v>5</v>
      </c>
      <c r="E45" s="49"/>
      <c r="F45" s="18"/>
      <c r="G45" s="18"/>
      <c r="H45" s="20">
        <f>D45*E44*3.28084</f>
        <v>328.084</v>
      </c>
      <c r="I45" s="88">
        <f>H45*0.3048</f>
        <v>100.00000320000001</v>
      </c>
      <c r="J45" s="87">
        <f>J43+H45</f>
        <v>524.93439999999998</v>
      </c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</row>
    <row r="46" spans="1:22" ht="15" customHeight="1">
      <c r="A46" s="118" t="s">
        <v>43</v>
      </c>
      <c r="B46" s="22" t="s">
        <v>12</v>
      </c>
      <c r="C46" s="23" t="s">
        <v>44</v>
      </c>
      <c r="D46" s="24">
        <f>D20</f>
        <v>80</v>
      </c>
      <c r="E46" s="47">
        <f>E20*0.1</f>
        <v>3.4000000000000004</v>
      </c>
      <c r="F46" s="26">
        <f>D46*E46</f>
        <v>272</v>
      </c>
      <c r="G46" s="27">
        <f>F46*0.000621371</f>
        <v>0.16901291200000002</v>
      </c>
      <c r="H46" s="48"/>
      <c r="I46" s="92"/>
      <c r="J46" s="92"/>
      <c r="K46" s="101"/>
      <c r="L46" s="101"/>
      <c r="M46" s="101"/>
      <c r="N46" s="101"/>
      <c r="O46" s="101"/>
      <c r="P46" s="101"/>
      <c r="Q46" s="101"/>
      <c r="R46" s="101"/>
      <c r="S46" s="101"/>
      <c r="T46" s="101"/>
      <c r="U46" s="101"/>
      <c r="V46" s="101"/>
    </row>
    <row r="47" spans="1:22" ht="15" customHeight="1">
      <c r="A47" s="118"/>
      <c r="B47" s="22" t="s">
        <v>14</v>
      </c>
      <c r="C47" s="23" t="s">
        <v>45</v>
      </c>
      <c r="D47" s="24">
        <f>D21</f>
        <v>10</v>
      </c>
      <c r="E47" s="47"/>
      <c r="F47" s="26"/>
      <c r="G47" s="27"/>
      <c r="H47" s="48">
        <f>D47*E46*3.28084</f>
        <v>111.54855999999999</v>
      </c>
      <c r="I47" s="88">
        <f>H47*0.3048</f>
        <v>34.000001087999998</v>
      </c>
      <c r="J47" s="92">
        <f>J45+H47</f>
        <v>636.48295999999993</v>
      </c>
      <c r="K47" s="101"/>
      <c r="L47" s="101"/>
      <c r="M47" s="101"/>
      <c r="N47" s="101"/>
      <c r="O47" s="101"/>
      <c r="P47" s="101"/>
      <c r="Q47" s="101"/>
      <c r="R47" s="101"/>
      <c r="S47" s="101"/>
      <c r="T47" s="101"/>
      <c r="U47" s="101"/>
      <c r="V47" s="101"/>
    </row>
    <row r="48" spans="1:22" ht="15" customHeight="1">
      <c r="A48" s="119" t="s">
        <v>46</v>
      </c>
      <c r="B48" s="31" t="s">
        <v>12</v>
      </c>
      <c r="C48" s="32" t="s">
        <v>47</v>
      </c>
      <c r="D48" s="33">
        <f>D22</f>
        <v>120</v>
      </c>
      <c r="E48" s="50">
        <f>E22*0.2</f>
        <v>200</v>
      </c>
      <c r="F48" s="35">
        <f>D48*E48</f>
        <v>24000</v>
      </c>
      <c r="G48" s="35">
        <f>F48*0.000621371</f>
        <v>14.912904000000001</v>
      </c>
      <c r="H48" s="51"/>
      <c r="I48" s="93"/>
      <c r="J48" s="93"/>
      <c r="K48" s="101"/>
      <c r="L48" s="101"/>
      <c r="M48" s="101"/>
      <c r="N48" s="101"/>
      <c r="O48" s="101"/>
      <c r="P48" s="101"/>
      <c r="Q48" s="101"/>
      <c r="R48" s="101"/>
      <c r="S48" s="101"/>
      <c r="T48" s="101"/>
      <c r="U48" s="101"/>
      <c r="V48" s="101"/>
    </row>
    <row r="49" spans="1:22" ht="15" customHeight="1">
      <c r="A49" s="119"/>
      <c r="B49" s="31" t="s">
        <v>14</v>
      </c>
      <c r="C49" s="32"/>
      <c r="D49" s="33"/>
      <c r="E49" s="50"/>
      <c r="F49" s="35"/>
      <c r="G49" s="35"/>
      <c r="H49" s="51"/>
      <c r="I49" s="93"/>
      <c r="J49" s="93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</row>
    <row r="50" spans="1:22" ht="15" customHeight="1">
      <c r="A50" s="118" t="s">
        <v>48</v>
      </c>
      <c r="B50" s="22" t="s">
        <v>12</v>
      </c>
      <c r="C50" s="23" t="s">
        <v>49</v>
      </c>
      <c r="D50" s="24">
        <f>D24</f>
        <v>48.989794855663561</v>
      </c>
      <c r="E50" s="47">
        <f>E32*0.1</f>
        <v>3.4000000000000004</v>
      </c>
      <c r="F50" s="26">
        <f>D50*E50</f>
        <v>166.56530250925613</v>
      </c>
      <c r="G50" s="27">
        <f>F50*0.000621371</f>
        <v>0.10349884858547899</v>
      </c>
      <c r="H50" s="48"/>
      <c r="I50" s="92"/>
      <c r="J50" s="92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</row>
    <row r="51" spans="1:22" ht="15" customHeight="1">
      <c r="A51" s="118"/>
      <c r="B51" s="22" t="s">
        <v>14</v>
      </c>
      <c r="C51" s="23" t="s">
        <v>50</v>
      </c>
      <c r="D51" s="24">
        <f>D25</f>
        <v>10</v>
      </c>
      <c r="E51" s="47"/>
      <c r="F51" s="26"/>
      <c r="G51" s="27"/>
      <c r="H51" s="48">
        <f>D51*E50*3.28084</f>
        <v>111.54855999999999</v>
      </c>
      <c r="I51" s="88">
        <f>H51*0.3048</f>
        <v>34.000001087999998</v>
      </c>
      <c r="J51" s="92">
        <f>J47-H51</f>
        <v>524.93439999999998</v>
      </c>
      <c r="K51" s="101"/>
      <c r="L51" s="101"/>
      <c r="M51" s="101"/>
      <c r="N51" s="101"/>
      <c r="O51" s="101"/>
      <c r="P51" s="101"/>
      <c r="Q51" s="101"/>
      <c r="R51" s="101"/>
      <c r="S51" s="101"/>
      <c r="T51" s="101"/>
      <c r="U51" s="101"/>
      <c r="V51" s="101"/>
    </row>
    <row r="52" spans="1:22" ht="15" customHeight="1">
      <c r="A52" s="114" t="s">
        <v>51</v>
      </c>
      <c r="B52" s="14" t="s">
        <v>12</v>
      </c>
      <c r="C52" s="15" t="s">
        <v>52</v>
      </c>
      <c r="D52" s="16">
        <f>D36</f>
        <v>30</v>
      </c>
      <c r="E52" s="49">
        <f>20</f>
        <v>20</v>
      </c>
      <c r="F52" s="18">
        <f>D52*E52</f>
        <v>600</v>
      </c>
      <c r="G52" s="19">
        <f>F52*0.000621371</f>
        <v>0.3728226</v>
      </c>
      <c r="H52" s="20"/>
      <c r="I52" s="87"/>
      <c r="J52" s="87"/>
      <c r="K52" s="101"/>
      <c r="L52" s="101"/>
      <c r="M52" s="101"/>
      <c r="N52" s="101"/>
      <c r="O52" s="101"/>
      <c r="P52" s="101"/>
      <c r="Q52" s="101"/>
      <c r="R52" s="101"/>
      <c r="S52" s="101"/>
      <c r="T52" s="101"/>
      <c r="U52" s="101"/>
      <c r="V52" s="101"/>
    </row>
    <row r="53" spans="1:22" ht="15" customHeight="1">
      <c r="A53" s="114"/>
      <c r="B53" s="14" t="s">
        <v>14</v>
      </c>
      <c r="C53" s="15" t="s">
        <v>53</v>
      </c>
      <c r="D53" s="16">
        <f>D37</f>
        <v>5</v>
      </c>
      <c r="E53" s="49"/>
      <c r="F53" s="18"/>
      <c r="G53" s="18"/>
      <c r="H53" s="20">
        <f>D53*E52*3.28084</f>
        <v>328.084</v>
      </c>
      <c r="I53" s="88">
        <f>H53*0.3048</f>
        <v>100.00000320000001</v>
      </c>
      <c r="J53" s="87">
        <f>J51-H53</f>
        <v>196.85039999999998</v>
      </c>
      <c r="K53" s="101"/>
      <c r="L53" s="101"/>
      <c r="M53" s="101"/>
      <c r="N53" s="101"/>
      <c r="O53" s="101"/>
      <c r="P53" s="101"/>
      <c r="Q53" s="101"/>
      <c r="R53" s="101"/>
      <c r="S53" s="101"/>
      <c r="T53" s="101"/>
      <c r="U53" s="101"/>
      <c r="V53" s="101"/>
    </row>
    <row r="54" spans="1:22" ht="15" customHeight="1">
      <c r="A54" s="118" t="s">
        <v>54</v>
      </c>
      <c r="B54" s="22" t="s">
        <v>12</v>
      </c>
      <c r="C54" s="23"/>
      <c r="D54" s="24"/>
      <c r="E54" s="47">
        <f>E38</f>
        <v>8.5714285714285712</v>
      </c>
      <c r="F54" s="26"/>
      <c r="G54" s="27"/>
      <c r="H54" s="48"/>
      <c r="I54" s="92"/>
      <c r="J54" s="92"/>
      <c r="K54" s="101"/>
      <c r="L54" s="101"/>
      <c r="M54" s="101"/>
      <c r="N54" s="101"/>
      <c r="O54" s="101"/>
      <c r="P54" s="101"/>
      <c r="Q54" s="101"/>
      <c r="R54" s="101"/>
      <c r="S54" s="101"/>
      <c r="T54" s="101"/>
      <c r="U54" s="101"/>
      <c r="V54" s="101"/>
    </row>
    <row r="55" spans="1:22" ht="15" customHeight="1" thickBot="1">
      <c r="A55" s="120"/>
      <c r="B55" s="52" t="s">
        <v>14</v>
      </c>
      <c r="C55" s="53" t="s">
        <v>55</v>
      </c>
      <c r="D55" s="54">
        <f>D39</f>
        <v>7</v>
      </c>
      <c r="E55" s="55"/>
      <c r="F55" s="56"/>
      <c r="G55" s="57"/>
      <c r="H55" s="58">
        <f>D55*E54*3.28084</f>
        <v>196.85040000000001</v>
      </c>
      <c r="I55" s="94"/>
      <c r="J55" s="94">
        <f>J53-H55</f>
        <v>0</v>
      </c>
      <c r="K55" s="101"/>
      <c r="L55" s="101"/>
      <c r="M55" s="101"/>
      <c r="N55" s="101"/>
      <c r="O55" s="101"/>
      <c r="P55" s="101"/>
      <c r="Q55" s="101"/>
      <c r="R55" s="101"/>
      <c r="S55" s="101"/>
      <c r="T55" s="101"/>
      <c r="U55" s="101"/>
      <c r="V55" s="101"/>
    </row>
    <row r="56" spans="1:22">
      <c r="F56" s="59"/>
      <c r="G56" s="60"/>
      <c r="H56" s="61"/>
      <c r="I56" s="61"/>
      <c r="J56" s="61"/>
      <c r="K56" s="101"/>
      <c r="L56" s="101"/>
      <c r="M56" s="101"/>
      <c r="N56" s="101"/>
      <c r="O56" s="101"/>
      <c r="P56" s="101"/>
      <c r="Q56" s="101"/>
      <c r="R56" s="101"/>
      <c r="S56" s="101"/>
      <c r="T56" s="101"/>
      <c r="U56" s="101"/>
      <c r="V56" s="101"/>
    </row>
    <row r="57" spans="1:22">
      <c r="F57" s="59"/>
      <c r="G57" s="60"/>
      <c r="H57" s="61"/>
      <c r="I57" s="61"/>
      <c r="J57" s="61"/>
      <c r="K57" s="101"/>
      <c r="L57" s="101"/>
      <c r="M57" s="101"/>
      <c r="N57" s="101"/>
      <c r="O57" s="101"/>
      <c r="P57" s="101"/>
      <c r="Q57" s="101"/>
      <c r="R57" s="101"/>
      <c r="S57" s="101"/>
      <c r="T57" s="101"/>
      <c r="U57" s="101"/>
      <c r="V57" s="101"/>
    </row>
    <row r="58" spans="1:22">
      <c r="D58" s="62" t="s">
        <v>56</v>
      </c>
      <c r="E58" s="63">
        <f>SUM(E12,E14,E16,E18,E20,E22,E32,E34,E36,E24,E26,E28,E38,E40)/60</f>
        <v>30.435714285714287</v>
      </c>
      <c r="F58" s="64">
        <f>SUM(F16,F18,F20,F22,F32,F34,F36,F12,F24,F26,F28,F30, F40)</f>
        <v>254593.02030614371</v>
      </c>
      <c r="G58" s="65">
        <f>F58*0.000621371</f>
        <v>158.19671962064882</v>
      </c>
      <c r="H58" s="66"/>
      <c r="I58" s="66"/>
      <c r="J58" s="66" t="s">
        <v>57</v>
      </c>
      <c r="K58" s="101"/>
      <c r="L58" s="104"/>
      <c r="M58" s="98"/>
      <c r="N58" s="99"/>
      <c r="O58" s="100"/>
      <c r="P58" s="100"/>
      <c r="Q58" s="101"/>
      <c r="R58" s="104"/>
      <c r="S58" s="98"/>
      <c r="T58" s="99"/>
      <c r="U58" s="100"/>
      <c r="V58" s="100"/>
    </row>
    <row r="59" spans="1:22">
      <c r="D59" s="67"/>
      <c r="E59" s="68" t="s">
        <v>58</v>
      </c>
      <c r="F59" s="68" t="s">
        <v>59</v>
      </c>
      <c r="G59" s="68" t="s">
        <v>60</v>
      </c>
      <c r="H59" s="69"/>
      <c r="I59" s="69"/>
      <c r="J59" s="69" t="s">
        <v>61</v>
      </c>
      <c r="K59" s="101"/>
      <c r="L59" s="96"/>
      <c r="M59" s="96"/>
      <c r="N59" s="96"/>
      <c r="O59" s="101"/>
      <c r="P59" s="101"/>
      <c r="Q59" s="101"/>
      <c r="R59" s="96"/>
      <c r="S59" s="96"/>
      <c r="T59" s="96"/>
      <c r="U59" s="101"/>
      <c r="V59" s="101"/>
    </row>
    <row r="60" spans="1:22">
      <c r="H60" s="70"/>
      <c r="I60" s="70"/>
      <c r="J60" s="70"/>
      <c r="K60" s="101"/>
      <c r="L60" s="101"/>
      <c r="M60" s="96"/>
      <c r="N60" s="96"/>
      <c r="O60" s="101"/>
      <c r="P60" s="101"/>
      <c r="Q60" s="101"/>
      <c r="R60" s="101"/>
      <c r="S60" s="96"/>
      <c r="T60" s="96"/>
      <c r="U60" s="101"/>
      <c r="V60" s="101"/>
    </row>
    <row r="61" spans="1:22">
      <c r="D61" s="62" t="s">
        <v>62</v>
      </c>
      <c r="E61" s="63">
        <f>SUM(E42,E44,E46,E48,E50,E52,E54)/60</f>
        <v>4.3990476190476189</v>
      </c>
      <c r="F61" s="64">
        <f>SUM(F44,F46,F48,F50,F52)</f>
        <v>25638.565302509258</v>
      </c>
      <c r="G61" s="65">
        <f>SUM(G44,G46,G48,G50,G52)</f>
        <v>15.93106096058548</v>
      </c>
      <c r="H61" s="71"/>
      <c r="I61" s="71"/>
      <c r="J61" s="66" t="s">
        <v>63</v>
      </c>
      <c r="K61" s="101"/>
      <c r="L61" s="101"/>
      <c r="M61" s="98"/>
      <c r="N61" s="99"/>
      <c r="O61" s="101"/>
      <c r="P61" s="100"/>
      <c r="Q61" s="101"/>
      <c r="R61" s="101"/>
      <c r="S61" s="98"/>
      <c r="T61" s="99"/>
      <c r="U61" s="101"/>
      <c r="V61" s="100"/>
    </row>
    <row r="62" spans="1:22">
      <c r="D62" s="67"/>
      <c r="E62" s="68" t="s">
        <v>58</v>
      </c>
      <c r="F62" s="68" t="s">
        <v>59</v>
      </c>
      <c r="G62" s="68" t="s">
        <v>60</v>
      </c>
      <c r="H62" s="68"/>
      <c r="I62" s="68"/>
      <c r="J62" s="86" t="s">
        <v>61</v>
      </c>
      <c r="P62" s="70"/>
      <c r="V62" s="70"/>
    </row>
    <row r="63" spans="1:22">
      <c r="A63" s="72"/>
      <c r="B63" s="73"/>
    </row>
    <row r="64" spans="1:22">
      <c r="A64" s="74" t="s">
        <v>64</v>
      </c>
    </row>
    <row r="65" spans="1:5" ht="29">
      <c r="A65" s="75" t="s">
        <v>65</v>
      </c>
      <c r="B65" s="4"/>
      <c r="C65" s="4" t="s">
        <v>66</v>
      </c>
      <c r="D65" s="76" t="s">
        <v>67</v>
      </c>
      <c r="E65" s="2" t="s">
        <v>77</v>
      </c>
    </row>
    <row r="66" spans="1:5">
      <c r="A66" s="77" t="s">
        <v>68</v>
      </c>
      <c r="B66" s="79">
        <f>SUM(G16,G18,G20, G22,G24, G26, G28,G30,G32,G34,G36)</f>
        <v>156.33260662064885</v>
      </c>
      <c r="C66" s="79">
        <f>B66-SUM(G16,G18,G20, G24, G26, G28,G32,G34,G36)</f>
        <v>149.12904000000003</v>
      </c>
      <c r="D66" s="80">
        <f>C66*1609.34/($D$22)</f>
        <v>1999.9944102800002</v>
      </c>
      <c r="E66" s="2">
        <f>SUM(E12:E41)/60</f>
        <v>47.102380952380948</v>
      </c>
    </row>
    <row r="67" spans="1:5">
      <c r="A67" s="95" t="s">
        <v>69</v>
      </c>
      <c r="B67" s="78">
        <v>45</v>
      </c>
      <c r="C67" s="79">
        <f>B67-SUM(G16,G18,G20,G32,G34,G36)</f>
        <v>40.874096559999998</v>
      </c>
      <c r="D67" s="80">
        <f>C67*1609.34/($D$22)</f>
        <v>548.16932131558667</v>
      </c>
    </row>
    <row r="68" spans="1:5">
      <c r="A68" s="95" t="s">
        <v>70</v>
      </c>
      <c r="B68" s="78">
        <v>60</v>
      </c>
      <c r="C68" s="79">
        <f>B68-SUM(G16,G18,G20,G32,G34,G36)</f>
        <v>55.874096559999998</v>
      </c>
      <c r="D68" s="80">
        <f>C68*1609.34/($D$22)</f>
        <v>749.33682131558658</v>
      </c>
    </row>
    <row r="69" spans="1:5">
      <c r="A69" s="77"/>
      <c r="B69" s="78"/>
      <c r="C69" s="78"/>
      <c r="D69" s="81"/>
    </row>
    <row r="70" spans="1:5">
      <c r="A70" s="82" t="s">
        <v>71</v>
      </c>
      <c r="B70" s="83">
        <v>6</v>
      </c>
      <c r="C70" s="84">
        <f>B70-SUM(G44,G46,G50,G52)</f>
        <v>4.981843039414521</v>
      </c>
      <c r="D70" s="85">
        <f>C70*1609.34/(D48)</f>
        <v>66.812327308761368</v>
      </c>
    </row>
    <row r="82" spans="3:3">
      <c r="C82" s="2" t="s">
        <v>173</v>
      </c>
    </row>
  </sheetData>
  <mergeCells count="24">
    <mergeCell ref="A54:A55"/>
    <mergeCell ref="A10:C11"/>
    <mergeCell ref="A44:A45"/>
    <mergeCell ref="A46:A47"/>
    <mergeCell ref="A48:A49"/>
    <mergeCell ref="A50:A51"/>
    <mergeCell ref="A52:A53"/>
    <mergeCell ref="A34:A35"/>
    <mergeCell ref="A36:A37"/>
    <mergeCell ref="A38:A39"/>
    <mergeCell ref="A40:A41"/>
    <mergeCell ref="A42:A43"/>
    <mergeCell ref="A16:A17"/>
    <mergeCell ref="A18:A19"/>
    <mergeCell ref="A20:A21"/>
    <mergeCell ref="A22:A23"/>
    <mergeCell ref="A32:A33"/>
    <mergeCell ref="D10:J10"/>
    <mergeCell ref="A12:A13"/>
    <mergeCell ref="A14:A15"/>
    <mergeCell ref="A24:A25"/>
    <mergeCell ref="A26:A27"/>
    <mergeCell ref="A28:A29"/>
    <mergeCell ref="A30:A3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34675-C5D8-46C8-82C9-0BA2D566D1DC}">
  <dimension ref="A1:D12"/>
  <sheetViews>
    <sheetView workbookViewId="0">
      <selection activeCell="D12" sqref="D12"/>
    </sheetView>
  </sheetViews>
  <sheetFormatPr defaultRowHeight="14.5"/>
  <sheetData>
    <row r="1" spans="1:4">
      <c r="A1" t="s">
        <v>151</v>
      </c>
    </row>
    <row r="2" spans="1:4">
      <c r="A2" t="s">
        <v>152</v>
      </c>
      <c r="B2">
        <v>3404</v>
      </c>
      <c r="C2" t="s">
        <v>153</v>
      </c>
    </row>
    <row r="3" spans="1:4">
      <c r="A3" t="s">
        <v>154</v>
      </c>
      <c r="B3">
        <v>0</v>
      </c>
      <c r="C3" t="s">
        <v>153</v>
      </c>
    </row>
    <row r="4" spans="1:4">
      <c r="A4" t="s">
        <v>155</v>
      </c>
      <c r="B4">
        <v>200</v>
      </c>
      <c r="C4" t="s">
        <v>153</v>
      </c>
    </row>
    <row r="8" spans="1:4">
      <c r="A8" t="s">
        <v>156</v>
      </c>
    </row>
    <row r="9" spans="1:4">
      <c r="A9" t="s">
        <v>157</v>
      </c>
      <c r="B9">
        <v>50</v>
      </c>
      <c r="C9" t="s">
        <v>158</v>
      </c>
      <c r="D9" t="s">
        <v>159</v>
      </c>
    </row>
    <row r="10" spans="1:4">
      <c r="B10">
        <f>B9*0.3048</f>
        <v>15.24</v>
      </c>
      <c r="C10" t="s">
        <v>153</v>
      </c>
    </row>
    <row r="11" spans="1:4">
      <c r="A11" t="s">
        <v>161</v>
      </c>
      <c r="B11">
        <v>50</v>
      </c>
      <c r="C11" t="s">
        <v>162</v>
      </c>
      <c r="D11" t="s">
        <v>163</v>
      </c>
    </row>
    <row r="12" spans="1:4">
      <c r="A12" t="s">
        <v>171</v>
      </c>
      <c r="B12">
        <v>5</v>
      </c>
      <c r="C12" t="s">
        <v>172</v>
      </c>
      <c r="D12" t="s">
        <v>173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BD5F8-C5B9-4E47-9069-A5FBADAD0870}">
  <dimension ref="A1:AK83"/>
  <sheetViews>
    <sheetView zoomScale="95" zoomScaleNormal="40" workbookViewId="0">
      <selection activeCell="Q12" sqref="Q12"/>
    </sheetView>
  </sheetViews>
  <sheetFormatPr defaultRowHeight="14.5"/>
  <cols>
    <col min="3" max="3" width="33.54296875" bestFit="1" customWidth="1"/>
    <col min="16" max="16" width="33.54296875" bestFit="1" customWidth="1"/>
  </cols>
  <sheetData>
    <row r="1" spans="1:24" ht="15" thickBot="1">
      <c r="A1" t="s">
        <v>82</v>
      </c>
    </row>
    <row r="2" spans="1:24">
      <c r="A2" s="121" t="s">
        <v>87</v>
      </c>
      <c r="B2" s="122"/>
      <c r="C2" s="123"/>
      <c r="D2" s="115" t="s">
        <v>80</v>
      </c>
      <c r="E2" s="116"/>
      <c r="F2" s="116"/>
      <c r="G2" s="116"/>
      <c r="H2" s="116"/>
      <c r="I2" s="117"/>
      <c r="J2" s="117"/>
      <c r="N2" s="121" t="s">
        <v>177</v>
      </c>
      <c r="O2" s="122"/>
      <c r="P2" s="123"/>
      <c r="Q2" s="115" t="s">
        <v>80</v>
      </c>
      <c r="R2" s="116"/>
      <c r="S2" s="116"/>
      <c r="T2" s="116"/>
      <c r="U2" s="116"/>
      <c r="V2" s="117"/>
      <c r="W2" s="117"/>
    </row>
    <row r="3" spans="1:24" ht="44" customHeight="1" thickBot="1">
      <c r="A3" s="124"/>
      <c r="B3" s="125"/>
      <c r="C3" s="126"/>
      <c r="D3" s="9" t="s">
        <v>6</v>
      </c>
      <c r="E3" s="10" t="s">
        <v>7</v>
      </c>
      <c r="F3" s="11" t="s">
        <v>8</v>
      </c>
      <c r="G3" s="12" t="s">
        <v>9</v>
      </c>
      <c r="H3" s="13" t="s">
        <v>10</v>
      </c>
      <c r="I3" s="12" t="s">
        <v>78</v>
      </c>
      <c r="J3" s="12" t="s">
        <v>2</v>
      </c>
      <c r="N3" s="124"/>
      <c r="O3" s="125"/>
      <c r="P3" s="126"/>
      <c r="Q3" s="9" t="s">
        <v>6</v>
      </c>
      <c r="R3" s="10" t="s">
        <v>7</v>
      </c>
      <c r="S3" s="11" t="s">
        <v>8</v>
      </c>
      <c r="T3" s="12" t="s">
        <v>9</v>
      </c>
      <c r="U3" s="13" t="s">
        <v>10</v>
      </c>
      <c r="V3" s="12" t="s">
        <v>78</v>
      </c>
      <c r="W3" s="12" t="s">
        <v>95</v>
      </c>
    </row>
    <row r="4" spans="1:24">
      <c r="A4" s="114" t="s">
        <v>11</v>
      </c>
      <c r="B4" s="14" t="s">
        <v>12</v>
      </c>
      <c r="C4" s="15" t="s">
        <v>13</v>
      </c>
      <c r="D4" s="16"/>
      <c r="E4" s="17"/>
      <c r="F4" s="18"/>
      <c r="G4" s="19"/>
      <c r="H4" s="20"/>
      <c r="I4" s="87"/>
      <c r="J4" s="87"/>
      <c r="N4" s="114" t="s">
        <v>11</v>
      </c>
      <c r="O4" s="14" t="s">
        <v>12</v>
      </c>
      <c r="P4" s="15" t="s">
        <v>13</v>
      </c>
      <c r="Q4" s="16">
        <f>15*0.5144</f>
        <v>7.7159999999999993</v>
      </c>
      <c r="R4" s="17">
        <v>60</v>
      </c>
      <c r="S4" s="18"/>
      <c r="T4" s="19"/>
      <c r="U4" s="20"/>
      <c r="V4" s="87"/>
      <c r="W4" s="87"/>
      <c r="X4" t="s">
        <v>107</v>
      </c>
    </row>
    <row r="5" spans="1:24" ht="14.5" customHeight="1">
      <c r="A5" s="114"/>
      <c r="B5" s="14" t="s">
        <v>14</v>
      </c>
      <c r="C5" s="15"/>
      <c r="D5" s="16"/>
      <c r="E5" s="21"/>
      <c r="F5" s="18"/>
      <c r="G5" s="19"/>
      <c r="H5" s="20"/>
      <c r="I5" s="87"/>
      <c r="J5" s="87"/>
      <c r="N5" s="114"/>
      <c r="O5" s="14" t="s">
        <v>14</v>
      </c>
      <c r="P5" s="15"/>
      <c r="Q5" s="16"/>
      <c r="R5" s="21"/>
      <c r="S5" s="18"/>
      <c r="T5" s="19"/>
      <c r="U5" s="20"/>
      <c r="V5" s="87"/>
      <c r="W5" s="87"/>
    </row>
    <row r="6" spans="1:24">
      <c r="A6" s="118" t="s">
        <v>15</v>
      </c>
      <c r="B6" s="22" t="s">
        <v>12</v>
      </c>
      <c r="C6" s="23"/>
      <c r="D6" s="24"/>
      <c r="E6" s="25"/>
      <c r="F6" s="26"/>
      <c r="G6" s="27"/>
      <c r="H6" s="28"/>
      <c r="I6" s="88"/>
      <c r="J6" s="88"/>
      <c r="N6" s="118" t="s">
        <v>15</v>
      </c>
      <c r="O6" s="22" t="s">
        <v>12</v>
      </c>
      <c r="P6" s="23"/>
      <c r="Q6" s="24"/>
      <c r="R6" s="25"/>
      <c r="S6" s="26"/>
      <c r="T6" s="27"/>
      <c r="U6" s="28"/>
      <c r="V6" s="88"/>
      <c r="W6" s="88"/>
    </row>
    <row r="7" spans="1:24" ht="14.5" customHeight="1">
      <c r="A7" s="118"/>
      <c r="B7" s="22" t="s">
        <v>14</v>
      </c>
      <c r="C7" s="23" t="s">
        <v>16</v>
      </c>
      <c r="D7" s="24" t="s">
        <v>89</v>
      </c>
      <c r="E7" s="29"/>
      <c r="F7" s="26"/>
      <c r="G7" s="27"/>
      <c r="H7" s="28"/>
      <c r="I7" s="88"/>
      <c r="J7" s="88"/>
      <c r="N7" s="118"/>
      <c r="O7" s="22" t="s">
        <v>14</v>
      </c>
      <c r="P7" s="23" t="s">
        <v>16</v>
      </c>
      <c r="Q7" s="24">
        <f>1500*0.3048/60</f>
        <v>7.620000000000001</v>
      </c>
      <c r="R7" s="29">
        <f>V7/Q7</f>
        <v>354.3307086614173</v>
      </c>
      <c r="S7" s="26"/>
      <c r="T7" s="27"/>
      <c r="U7" s="28"/>
      <c r="V7" s="88">
        <v>2700</v>
      </c>
      <c r="W7" s="88">
        <f>V7</f>
        <v>2700</v>
      </c>
      <c r="X7" t="s">
        <v>106</v>
      </c>
    </row>
    <row r="8" spans="1:24">
      <c r="A8" s="114" t="s">
        <v>17</v>
      </c>
      <c r="B8" s="14" t="s">
        <v>12</v>
      </c>
      <c r="C8" s="15" t="s">
        <v>18</v>
      </c>
      <c r="D8" s="16"/>
      <c r="E8" s="21"/>
      <c r="F8" s="18"/>
      <c r="G8" s="19"/>
      <c r="H8" s="20"/>
      <c r="I8" s="87"/>
      <c r="J8" s="87"/>
      <c r="N8" s="114" t="s">
        <v>17</v>
      </c>
      <c r="O8" s="14" t="s">
        <v>12</v>
      </c>
      <c r="P8" s="15" t="s">
        <v>18</v>
      </c>
      <c r="Q8" s="16">
        <f>70*0.5144</f>
        <v>36.007999999999996</v>
      </c>
      <c r="R8" s="21">
        <v>15</v>
      </c>
      <c r="S8" s="18">
        <f>Q8*R8</f>
        <v>540.11999999999989</v>
      </c>
      <c r="T8" s="19"/>
      <c r="U8" s="20"/>
      <c r="V8" s="87"/>
      <c r="W8" s="87"/>
      <c r="X8" t="s">
        <v>100</v>
      </c>
    </row>
    <row r="9" spans="1:24" ht="14.5" customHeight="1">
      <c r="A9" s="114"/>
      <c r="B9" s="14" t="s">
        <v>14</v>
      </c>
      <c r="C9" s="15" t="s">
        <v>19</v>
      </c>
      <c r="D9" s="110"/>
      <c r="E9" s="21"/>
      <c r="F9" s="18"/>
      <c r="G9" s="19"/>
      <c r="H9" s="20"/>
      <c r="I9" s="88"/>
      <c r="J9" s="87"/>
      <c r="N9" s="114"/>
      <c r="O9" s="14" t="s">
        <v>14</v>
      </c>
      <c r="P9" s="15" t="s">
        <v>19</v>
      </c>
      <c r="Q9" s="110">
        <f>10*0.5144</f>
        <v>5.1440000000000001</v>
      </c>
      <c r="R9" s="21"/>
      <c r="S9" s="18"/>
      <c r="T9" s="19"/>
      <c r="U9" s="20"/>
      <c r="V9" s="88">
        <f>Q9*R8</f>
        <v>77.16</v>
      </c>
      <c r="W9" s="87">
        <f>W7+V9</f>
        <v>2777.16</v>
      </c>
      <c r="X9" t="s">
        <v>96</v>
      </c>
    </row>
    <row r="10" spans="1:24">
      <c r="A10" s="118" t="s">
        <v>20</v>
      </c>
      <c r="B10" s="22" t="s">
        <v>12</v>
      </c>
      <c r="C10" s="23" t="s">
        <v>21</v>
      </c>
      <c r="D10" s="24"/>
      <c r="E10" s="30"/>
      <c r="F10" s="26"/>
      <c r="G10" s="27"/>
      <c r="H10" s="28"/>
      <c r="I10" s="88"/>
      <c r="J10" s="88"/>
      <c r="N10" s="118" t="s">
        <v>20</v>
      </c>
      <c r="O10" s="22" t="s">
        <v>12</v>
      </c>
      <c r="P10" s="23" t="s">
        <v>21</v>
      </c>
      <c r="Q10" s="24">
        <v>0</v>
      </c>
      <c r="R10" s="30">
        <v>0</v>
      </c>
      <c r="S10" s="26"/>
      <c r="T10" s="27"/>
      <c r="U10" s="28"/>
      <c r="V10" s="88"/>
      <c r="W10" s="88"/>
      <c r="X10" t="s">
        <v>97</v>
      </c>
    </row>
    <row r="11" spans="1:24" ht="14.5" customHeight="1">
      <c r="A11" s="118"/>
      <c r="B11" s="22" t="s">
        <v>14</v>
      </c>
      <c r="C11" s="23"/>
      <c r="D11" s="24"/>
      <c r="E11" s="29"/>
      <c r="F11" s="26"/>
      <c r="G11" s="27"/>
      <c r="H11" s="28"/>
      <c r="I11" s="88"/>
      <c r="J11" s="88"/>
      <c r="N11" s="118"/>
      <c r="O11" s="22" t="s">
        <v>14</v>
      </c>
      <c r="P11" s="23"/>
      <c r="Q11" s="24">
        <v>0</v>
      </c>
      <c r="R11" s="29"/>
      <c r="S11" s="26"/>
      <c r="T11" s="27"/>
      <c r="U11" s="28"/>
      <c r="V11" s="88"/>
      <c r="W11" s="88"/>
    </row>
    <row r="12" spans="1:24">
      <c r="A12" s="114" t="s">
        <v>22</v>
      </c>
      <c r="B12" s="14" t="s">
        <v>12</v>
      </c>
      <c r="C12" s="15" t="s">
        <v>23</v>
      </c>
      <c r="D12" s="16"/>
      <c r="E12" s="21">
        <v>20</v>
      </c>
      <c r="F12" s="18"/>
      <c r="G12" s="19"/>
      <c r="H12" s="20"/>
      <c r="I12" s="87"/>
      <c r="J12" s="87"/>
      <c r="N12" s="114" t="s">
        <v>22</v>
      </c>
      <c r="O12" s="14" t="s">
        <v>12</v>
      </c>
      <c r="P12" s="15" t="s">
        <v>23</v>
      </c>
      <c r="Q12" s="16">
        <f>SQRT((448000/3600)^2-Q13^2)</f>
        <v>124.00771269821072</v>
      </c>
      <c r="R12" s="21">
        <f>V13/Q13</f>
        <v>429.77664000000004</v>
      </c>
      <c r="S12" s="18">
        <f>Q12*R12</f>
        <v>53295.618097522347</v>
      </c>
      <c r="T12" s="19"/>
      <c r="U12" s="20"/>
      <c r="V12" s="87"/>
      <c r="W12" s="87"/>
      <c r="X12" t="s">
        <v>105</v>
      </c>
    </row>
    <row r="13" spans="1:24" ht="14.5" customHeight="1">
      <c r="A13" s="114"/>
      <c r="B13" s="14" t="s">
        <v>14</v>
      </c>
      <c r="C13" s="15" t="s">
        <v>24</v>
      </c>
      <c r="D13" s="110"/>
      <c r="E13" s="21"/>
      <c r="F13" s="18"/>
      <c r="G13" s="19"/>
      <c r="H13" s="20"/>
      <c r="I13" s="88"/>
      <c r="J13" s="87"/>
      <c r="N13" s="114"/>
      <c r="O13" s="14" t="s">
        <v>14</v>
      </c>
      <c r="P13" s="15" t="s">
        <v>24</v>
      </c>
      <c r="Q13" s="110">
        <f>625/60</f>
        <v>10.416666666666666</v>
      </c>
      <c r="R13" s="21"/>
      <c r="S13" s="18"/>
      <c r="T13" s="19"/>
      <c r="U13" s="20"/>
      <c r="V13" s="88">
        <f>W13-W9</f>
        <v>4476.84</v>
      </c>
      <c r="W13" s="87">
        <v>7254</v>
      </c>
      <c r="X13" t="s">
        <v>104</v>
      </c>
    </row>
    <row r="14" spans="1:24">
      <c r="A14" s="119" t="s">
        <v>72</v>
      </c>
      <c r="B14" s="31" t="s">
        <v>12</v>
      </c>
      <c r="C14" s="32" t="s">
        <v>25</v>
      </c>
      <c r="D14" s="110" t="s">
        <v>86</v>
      </c>
      <c r="E14" s="34"/>
      <c r="F14" s="35" t="s">
        <v>88</v>
      </c>
      <c r="G14" s="36"/>
      <c r="H14" s="37"/>
      <c r="I14" s="89"/>
      <c r="J14" s="89"/>
      <c r="N14" s="119" t="s">
        <v>72</v>
      </c>
      <c r="O14" s="31" t="s">
        <v>12</v>
      </c>
      <c r="P14" s="32" t="s">
        <v>25</v>
      </c>
      <c r="Q14" s="110">
        <f>S14/R14</f>
        <v>129.18455329088226</v>
      </c>
      <c r="R14" s="34">
        <f>5400-R7-R8-R12</f>
        <v>4600.8926513385823</v>
      </c>
      <c r="S14" s="35">
        <f>1852*700/2-S8-S12</f>
        <v>594364.26190247771</v>
      </c>
      <c r="T14" s="36"/>
      <c r="U14" s="37"/>
      <c r="V14" s="89"/>
      <c r="W14" s="89"/>
      <c r="X14" t="s">
        <v>98</v>
      </c>
    </row>
    <row r="15" spans="1:24" ht="14.5" customHeight="1">
      <c r="A15" s="119"/>
      <c r="B15" s="31" t="s">
        <v>14</v>
      </c>
      <c r="C15" s="32"/>
      <c r="D15" s="33"/>
      <c r="E15" s="38"/>
      <c r="F15" s="35"/>
      <c r="G15" s="36"/>
      <c r="H15" s="37"/>
      <c r="I15" s="89"/>
      <c r="J15" s="89"/>
      <c r="N15" s="119"/>
      <c r="O15" s="31" t="s">
        <v>14</v>
      </c>
      <c r="P15" s="32"/>
      <c r="Q15" s="33"/>
      <c r="R15" s="38"/>
      <c r="S15" s="35"/>
      <c r="T15" s="36"/>
      <c r="U15" s="37"/>
      <c r="V15" s="89"/>
      <c r="W15" s="89"/>
    </row>
    <row r="16" spans="1:24">
      <c r="A16" s="119" t="s">
        <v>73</v>
      </c>
      <c r="B16" s="31" t="s">
        <v>12</v>
      </c>
      <c r="C16" s="32" t="s">
        <v>25</v>
      </c>
      <c r="D16" s="110"/>
      <c r="E16" s="34"/>
      <c r="F16" s="35" t="s">
        <v>88</v>
      </c>
      <c r="G16" s="36"/>
      <c r="H16" s="37"/>
      <c r="I16" s="89"/>
      <c r="J16" s="89"/>
      <c r="N16" s="119" t="s">
        <v>73</v>
      </c>
      <c r="O16" s="31" t="s">
        <v>12</v>
      </c>
      <c r="P16" s="32" t="s">
        <v>25</v>
      </c>
      <c r="Q16" s="110">
        <f>Q14</f>
        <v>129.18455329088226</v>
      </c>
      <c r="R16" s="34">
        <f>R14</f>
        <v>4600.8926513385823</v>
      </c>
      <c r="S16" s="35">
        <f>S14</f>
        <v>594364.26190247771</v>
      </c>
      <c r="T16" s="36"/>
      <c r="U16" s="37"/>
      <c r="V16" s="89"/>
      <c r="W16" s="89"/>
      <c r="X16" t="s">
        <v>99</v>
      </c>
    </row>
    <row r="17" spans="1:24" ht="14.5" customHeight="1">
      <c r="A17" s="119"/>
      <c r="B17" s="31" t="s">
        <v>14</v>
      </c>
      <c r="C17" s="32"/>
      <c r="D17" s="33"/>
      <c r="E17" s="38"/>
      <c r="F17" s="35"/>
      <c r="G17" s="36"/>
      <c r="H17" s="37"/>
      <c r="I17" s="89"/>
      <c r="J17" s="89"/>
      <c r="N17" s="119"/>
      <c r="O17" s="31" t="s">
        <v>14</v>
      </c>
      <c r="P17" s="32"/>
      <c r="Q17" s="33"/>
      <c r="R17" s="38"/>
      <c r="S17" s="35"/>
      <c r="T17" s="36"/>
      <c r="U17" s="37"/>
      <c r="V17" s="89"/>
      <c r="W17" s="89"/>
    </row>
    <row r="18" spans="1:24">
      <c r="A18" s="114" t="s">
        <v>26</v>
      </c>
      <c r="B18" s="14" t="s">
        <v>12</v>
      </c>
      <c r="C18" s="15" t="s">
        <v>27</v>
      </c>
      <c r="D18" s="16"/>
      <c r="E18" s="21"/>
      <c r="F18" s="18"/>
      <c r="G18" s="19"/>
      <c r="H18" s="20"/>
      <c r="I18" s="87"/>
      <c r="J18" s="87"/>
      <c r="N18" s="114" t="s">
        <v>26</v>
      </c>
      <c r="O18" s="14" t="s">
        <v>12</v>
      </c>
      <c r="P18" s="15" t="s">
        <v>27</v>
      </c>
      <c r="Q18" s="16">
        <f>Q12</f>
        <v>124.00771269821072</v>
      </c>
      <c r="R18" s="21">
        <f>R12</f>
        <v>429.77664000000004</v>
      </c>
      <c r="S18" s="18"/>
      <c r="T18" s="19"/>
      <c r="U18" s="20"/>
      <c r="V18" s="87"/>
      <c r="W18" s="87"/>
      <c r="X18" t="s">
        <v>103</v>
      </c>
    </row>
    <row r="19" spans="1:24" ht="14.5" customHeight="1">
      <c r="A19" s="114"/>
      <c r="B19" s="14" t="s">
        <v>14</v>
      </c>
      <c r="C19" s="15" t="s">
        <v>28</v>
      </c>
      <c r="D19" s="110"/>
      <c r="E19" s="21"/>
      <c r="F19" s="18"/>
      <c r="G19" s="19"/>
      <c r="H19" s="20"/>
      <c r="I19" s="88"/>
      <c r="J19" s="87"/>
      <c r="N19" s="114"/>
      <c r="O19" s="14" t="s">
        <v>14</v>
      </c>
      <c r="P19" s="15" t="s">
        <v>28</v>
      </c>
      <c r="Q19" s="110">
        <f>Q13</f>
        <v>10.416666666666666</v>
      </c>
      <c r="R19" s="21"/>
      <c r="S19" s="18"/>
      <c r="T19" s="19"/>
      <c r="U19" s="20"/>
      <c r="V19" s="88"/>
      <c r="W19" s="87"/>
    </row>
    <row r="20" spans="1:24">
      <c r="A20" s="118" t="s">
        <v>29</v>
      </c>
      <c r="B20" s="22" t="s">
        <v>12</v>
      </c>
      <c r="C20" s="23" t="s">
        <v>30</v>
      </c>
      <c r="D20" s="24"/>
      <c r="E20" s="30"/>
      <c r="F20" s="26"/>
      <c r="G20" s="27"/>
      <c r="H20" s="28"/>
      <c r="I20" s="88"/>
      <c r="J20" s="88"/>
      <c r="N20" s="118" t="s">
        <v>29</v>
      </c>
      <c r="O20" s="22" t="s">
        <v>12</v>
      </c>
      <c r="P20" s="23" t="s">
        <v>30</v>
      </c>
      <c r="Q20" s="24">
        <v>0</v>
      </c>
      <c r="R20" s="30">
        <v>0</v>
      </c>
      <c r="S20" s="26"/>
      <c r="T20" s="27"/>
      <c r="U20" s="28"/>
      <c r="V20" s="88"/>
      <c r="W20" s="88"/>
    </row>
    <row r="21" spans="1:24" ht="14.5" customHeight="1">
      <c r="A21" s="118"/>
      <c r="B21" s="22" t="s">
        <v>14</v>
      </c>
      <c r="C21" s="23"/>
      <c r="D21" s="24"/>
      <c r="E21" s="29"/>
      <c r="F21" s="26"/>
      <c r="G21" s="27"/>
      <c r="H21" s="28"/>
      <c r="I21" s="88"/>
      <c r="J21" s="88"/>
      <c r="N21" s="118"/>
      <c r="O21" s="22" t="s">
        <v>14</v>
      </c>
      <c r="P21" s="23"/>
      <c r="Q21" s="24">
        <v>0</v>
      </c>
      <c r="R21" s="29"/>
      <c r="S21" s="26"/>
      <c r="T21" s="27"/>
      <c r="U21" s="28"/>
      <c r="V21" s="88"/>
      <c r="W21" s="88"/>
    </row>
    <row r="22" spans="1:24">
      <c r="A22" s="114" t="s">
        <v>31</v>
      </c>
      <c r="B22" s="14" t="s">
        <v>12</v>
      </c>
      <c r="C22" s="15" t="s">
        <v>32</v>
      </c>
      <c r="D22" s="16" t="s">
        <v>91</v>
      </c>
      <c r="E22" s="21"/>
      <c r="F22" s="18"/>
      <c r="G22" s="19"/>
      <c r="H22" s="20"/>
      <c r="I22" s="87"/>
      <c r="J22" s="87"/>
      <c r="N22" s="114" t="s">
        <v>31</v>
      </c>
      <c r="O22" s="14" t="s">
        <v>12</v>
      </c>
      <c r="P22" s="15" t="s">
        <v>32</v>
      </c>
      <c r="Q22" s="16">
        <f>Q8</f>
        <v>36.007999999999996</v>
      </c>
      <c r="R22" s="21">
        <f>R8</f>
        <v>15</v>
      </c>
      <c r="S22" s="18"/>
      <c r="T22" s="19"/>
      <c r="U22" s="20"/>
      <c r="V22" s="87"/>
      <c r="W22" s="87"/>
      <c r="X22" t="s">
        <v>101</v>
      </c>
    </row>
    <row r="23" spans="1:24" ht="14.5" customHeight="1">
      <c r="A23" s="114"/>
      <c r="B23" s="14" t="s">
        <v>14</v>
      </c>
      <c r="C23" s="15" t="s">
        <v>33</v>
      </c>
      <c r="D23" s="110" t="s">
        <v>92</v>
      </c>
      <c r="E23" s="21"/>
      <c r="F23" s="18"/>
      <c r="G23" s="19"/>
      <c r="H23" s="20"/>
      <c r="I23" s="88"/>
      <c r="J23" s="87"/>
      <c r="N23" s="114"/>
      <c r="O23" s="14" t="s">
        <v>14</v>
      </c>
      <c r="P23" s="15" t="s">
        <v>33</v>
      </c>
      <c r="Q23" s="110">
        <f>Q9</f>
        <v>5.1440000000000001</v>
      </c>
      <c r="R23" s="21"/>
      <c r="S23" s="18"/>
      <c r="T23" s="19"/>
      <c r="U23" s="20"/>
      <c r="V23" s="88"/>
      <c r="W23" s="87"/>
      <c r="X23" t="s">
        <v>102</v>
      </c>
    </row>
    <row r="24" spans="1:24">
      <c r="A24" s="118" t="s">
        <v>34</v>
      </c>
      <c r="B24" s="22" t="s">
        <v>12</v>
      </c>
      <c r="C24" s="23"/>
      <c r="D24" s="24"/>
      <c r="E24" s="29"/>
      <c r="F24" s="26"/>
      <c r="G24" s="27"/>
      <c r="H24" s="28"/>
      <c r="I24" s="88"/>
      <c r="J24" s="88"/>
      <c r="N24" s="118" t="s">
        <v>34</v>
      </c>
      <c r="O24" s="22" t="s">
        <v>12</v>
      </c>
      <c r="P24" s="23"/>
      <c r="Q24" s="24"/>
      <c r="R24" s="29"/>
      <c r="S24" s="26"/>
      <c r="T24" s="27"/>
      <c r="U24" s="28"/>
      <c r="V24" s="88"/>
      <c r="W24" s="88"/>
    </row>
    <row r="25" spans="1:24" ht="14.5" customHeight="1">
      <c r="A25" s="118"/>
      <c r="B25" s="22" t="s">
        <v>14</v>
      </c>
      <c r="C25" s="23" t="s">
        <v>35</v>
      </c>
      <c r="D25" s="24"/>
      <c r="E25" s="29"/>
      <c r="F25" s="26"/>
      <c r="G25" s="27"/>
      <c r="H25" s="28"/>
      <c r="I25" s="88"/>
      <c r="J25" s="88"/>
      <c r="N25" s="118"/>
      <c r="O25" s="22" t="s">
        <v>14</v>
      </c>
      <c r="P25" s="23" t="s">
        <v>35</v>
      </c>
      <c r="Q25" s="24">
        <f>Q7</f>
        <v>7.620000000000001</v>
      </c>
      <c r="R25" s="29">
        <f>V25/Q25</f>
        <v>354.3307086614173</v>
      </c>
      <c r="S25" s="26"/>
      <c r="T25" s="27"/>
      <c r="U25" s="28"/>
      <c r="V25" s="88">
        <f>V7</f>
        <v>2700</v>
      </c>
      <c r="W25" s="88"/>
      <c r="X25" t="s">
        <v>108</v>
      </c>
    </row>
    <row r="26" spans="1:24">
      <c r="A26" s="114" t="s">
        <v>36</v>
      </c>
      <c r="B26" s="14" t="s">
        <v>12</v>
      </c>
      <c r="C26" s="15" t="s">
        <v>37</v>
      </c>
      <c r="D26" s="16"/>
      <c r="E26" s="17"/>
      <c r="F26" s="18"/>
      <c r="G26" s="19"/>
      <c r="H26" s="20"/>
      <c r="I26" s="87"/>
      <c r="J26" s="87"/>
      <c r="N26" s="114" t="s">
        <v>36</v>
      </c>
      <c r="O26" s="14" t="s">
        <v>12</v>
      </c>
      <c r="P26" s="15" t="s">
        <v>37</v>
      </c>
      <c r="Q26" s="16">
        <f>Q4</f>
        <v>7.7159999999999993</v>
      </c>
      <c r="R26" s="17">
        <f>R4</f>
        <v>60</v>
      </c>
      <c r="S26" s="18"/>
      <c r="T26" s="19"/>
      <c r="U26" s="20"/>
      <c r="V26" s="87"/>
      <c r="W26" s="87"/>
    </row>
    <row r="27" spans="1:24" ht="14.5" customHeight="1">
      <c r="A27" s="114"/>
      <c r="B27" s="14" t="s">
        <v>14</v>
      </c>
      <c r="C27" s="15"/>
      <c r="D27" s="16"/>
      <c r="E27" s="21"/>
      <c r="F27" s="18"/>
      <c r="G27" s="19"/>
      <c r="H27" s="39"/>
      <c r="I27" s="90"/>
      <c r="J27" s="90"/>
      <c r="N27" s="114"/>
      <c r="O27" s="14" t="s">
        <v>14</v>
      </c>
      <c r="P27" s="15"/>
      <c r="Q27" s="16"/>
      <c r="R27" s="21"/>
      <c r="S27" s="18"/>
      <c r="T27" s="19"/>
      <c r="U27" s="39"/>
      <c r="V27" s="90"/>
      <c r="W27" s="90"/>
    </row>
    <row r="28" spans="1:24">
      <c r="A28" s="127" t="s">
        <v>38</v>
      </c>
      <c r="B28" s="40" t="s">
        <v>12</v>
      </c>
      <c r="C28" s="41"/>
      <c r="D28" s="42"/>
      <c r="E28" s="43"/>
      <c r="F28" s="44"/>
      <c r="G28" s="45"/>
      <c r="H28" s="46"/>
      <c r="I28" s="91"/>
      <c r="J28" s="91"/>
      <c r="N28" s="127" t="s">
        <v>38</v>
      </c>
      <c r="O28" s="40" t="s">
        <v>12</v>
      </c>
      <c r="P28" s="41"/>
      <c r="Q28" s="42"/>
      <c r="R28" s="43"/>
      <c r="S28" s="44"/>
      <c r="T28" s="45"/>
      <c r="U28" s="46"/>
      <c r="V28" s="91"/>
      <c r="W28" s="91"/>
    </row>
    <row r="29" spans="1:24" ht="14.5" customHeight="1">
      <c r="A29" s="118"/>
      <c r="B29" s="22" t="s">
        <v>14</v>
      </c>
      <c r="C29" s="23" t="s">
        <v>39</v>
      </c>
      <c r="D29" s="24"/>
      <c r="E29" s="47"/>
      <c r="F29" s="26"/>
      <c r="G29" s="27"/>
      <c r="H29" s="48"/>
      <c r="I29" s="88"/>
      <c r="J29" s="92"/>
      <c r="N29" s="118"/>
      <c r="O29" s="22" t="s">
        <v>14</v>
      </c>
      <c r="P29" s="23" t="s">
        <v>39</v>
      </c>
      <c r="Q29" s="24"/>
      <c r="R29" s="47"/>
      <c r="S29" s="26"/>
      <c r="T29" s="27"/>
      <c r="U29" s="48"/>
      <c r="V29" s="88"/>
      <c r="W29" s="92"/>
    </row>
    <row r="30" spans="1:24">
      <c r="A30" s="114" t="s">
        <v>40</v>
      </c>
      <c r="B30" s="14" t="s">
        <v>12</v>
      </c>
      <c r="C30" s="15" t="s">
        <v>41</v>
      </c>
      <c r="D30" s="16"/>
      <c r="E30" s="49"/>
      <c r="F30" s="18"/>
      <c r="G30" s="19"/>
      <c r="H30" s="20"/>
      <c r="I30" s="87"/>
      <c r="J30" s="87"/>
      <c r="N30" s="114" t="s">
        <v>40</v>
      </c>
      <c r="O30" s="14" t="s">
        <v>12</v>
      </c>
      <c r="P30" s="15" t="s">
        <v>41</v>
      </c>
      <c r="Q30" s="16"/>
      <c r="R30" s="49"/>
      <c r="S30" s="18"/>
      <c r="T30" s="19"/>
      <c r="U30" s="20"/>
      <c r="V30" s="87"/>
      <c r="W30" s="87"/>
    </row>
    <row r="31" spans="1:24" ht="14.5" customHeight="1">
      <c r="A31" s="114"/>
      <c r="B31" s="14" t="s">
        <v>14</v>
      </c>
      <c r="C31" s="15" t="s">
        <v>42</v>
      </c>
      <c r="D31" s="16"/>
      <c r="E31" s="49"/>
      <c r="F31" s="18"/>
      <c r="G31" s="18"/>
      <c r="H31" s="20"/>
      <c r="I31" s="88"/>
      <c r="J31" s="87"/>
      <c r="N31" s="114"/>
      <c r="O31" s="14" t="s">
        <v>14</v>
      </c>
      <c r="P31" s="15" t="s">
        <v>42</v>
      </c>
      <c r="Q31" s="16"/>
      <c r="R31" s="49"/>
      <c r="S31" s="18"/>
      <c r="T31" s="18"/>
      <c r="U31" s="20"/>
      <c r="V31" s="88"/>
      <c r="W31" s="87"/>
    </row>
    <row r="32" spans="1:24">
      <c r="A32" s="118" t="s">
        <v>43</v>
      </c>
      <c r="B32" s="22" t="s">
        <v>12</v>
      </c>
      <c r="C32" s="23" t="s">
        <v>44</v>
      </c>
      <c r="D32" s="24"/>
      <c r="E32" s="47"/>
      <c r="F32" s="26"/>
      <c r="G32" s="27"/>
      <c r="H32" s="48"/>
      <c r="I32" s="92"/>
      <c r="J32" s="92"/>
      <c r="N32" s="118" t="s">
        <v>43</v>
      </c>
      <c r="O32" s="22" t="s">
        <v>12</v>
      </c>
      <c r="P32" s="23" t="s">
        <v>44</v>
      </c>
      <c r="Q32" s="24"/>
      <c r="R32" s="47"/>
      <c r="S32" s="26"/>
      <c r="T32" s="27"/>
      <c r="U32" s="48"/>
      <c r="V32" s="92"/>
      <c r="W32" s="92"/>
    </row>
    <row r="33" spans="1:37" ht="14.5" customHeight="1">
      <c r="A33" s="118"/>
      <c r="B33" s="22" t="s">
        <v>14</v>
      </c>
      <c r="C33" s="23" t="s">
        <v>45</v>
      </c>
      <c r="D33" s="24"/>
      <c r="E33" s="47"/>
      <c r="F33" s="26"/>
      <c r="G33" s="27"/>
      <c r="H33" s="48"/>
      <c r="I33" s="88"/>
      <c r="J33" s="92"/>
      <c r="N33" s="118"/>
      <c r="O33" s="22" t="s">
        <v>14</v>
      </c>
      <c r="P33" s="23" t="s">
        <v>45</v>
      </c>
      <c r="Q33" s="24"/>
      <c r="R33" s="47"/>
      <c r="S33" s="26"/>
      <c r="T33" s="27"/>
      <c r="U33" s="48"/>
      <c r="V33" s="88"/>
      <c r="W33" s="92"/>
    </row>
    <row r="34" spans="1:37">
      <c r="A34" s="119" t="s">
        <v>46</v>
      </c>
      <c r="B34" s="31" t="s">
        <v>12</v>
      </c>
      <c r="C34" s="32" t="s">
        <v>47</v>
      </c>
      <c r="D34" s="33"/>
      <c r="E34" s="50"/>
      <c r="F34" s="35"/>
      <c r="G34" s="35"/>
      <c r="H34" s="51"/>
      <c r="I34" s="93"/>
      <c r="J34" s="93"/>
      <c r="N34" s="119" t="s">
        <v>46</v>
      </c>
      <c r="O34" s="31" t="s">
        <v>12</v>
      </c>
      <c r="P34" s="32" t="s">
        <v>47</v>
      </c>
      <c r="Q34" s="33"/>
      <c r="R34" s="50"/>
      <c r="S34" s="35"/>
      <c r="T34" s="35"/>
      <c r="U34" s="51"/>
      <c r="V34" s="93"/>
      <c r="W34" s="93"/>
    </row>
    <row r="35" spans="1:37" ht="14.5" customHeight="1">
      <c r="A35" s="119"/>
      <c r="B35" s="31" t="s">
        <v>14</v>
      </c>
      <c r="C35" s="32"/>
      <c r="D35" s="33"/>
      <c r="E35" s="50"/>
      <c r="F35" s="35"/>
      <c r="G35" s="35"/>
      <c r="H35" s="51"/>
      <c r="I35" s="93"/>
      <c r="J35" s="93"/>
      <c r="N35" s="119"/>
      <c r="O35" s="31" t="s">
        <v>14</v>
      </c>
      <c r="P35" s="32"/>
      <c r="Q35" s="33"/>
      <c r="R35" s="50"/>
      <c r="S35" s="35"/>
      <c r="T35" s="35"/>
      <c r="U35" s="51"/>
      <c r="V35" s="93"/>
      <c r="W35" s="93"/>
    </row>
    <row r="36" spans="1:37">
      <c r="A36" s="118" t="s">
        <v>48</v>
      </c>
      <c r="B36" s="22" t="s">
        <v>12</v>
      </c>
      <c r="C36" s="23" t="s">
        <v>49</v>
      </c>
      <c r="D36" s="24"/>
      <c r="E36" s="47"/>
      <c r="F36" s="26"/>
      <c r="G36" s="27"/>
      <c r="H36" s="48"/>
      <c r="I36" s="92"/>
      <c r="J36" s="92"/>
      <c r="N36" s="118" t="s">
        <v>48</v>
      </c>
      <c r="O36" s="22" t="s">
        <v>12</v>
      </c>
      <c r="P36" s="23" t="s">
        <v>49</v>
      </c>
      <c r="Q36" s="24"/>
      <c r="R36" s="47"/>
      <c r="S36" s="26"/>
      <c r="T36" s="27"/>
      <c r="U36" s="48"/>
      <c r="V36" s="92"/>
      <c r="W36" s="92"/>
    </row>
    <row r="37" spans="1:37" ht="14.5" customHeight="1">
      <c r="A37" s="118"/>
      <c r="B37" s="22" t="s">
        <v>14</v>
      </c>
      <c r="C37" s="23" t="s">
        <v>50</v>
      </c>
      <c r="D37" s="24"/>
      <c r="E37" s="47"/>
      <c r="F37" s="26"/>
      <c r="G37" s="27"/>
      <c r="H37" s="48"/>
      <c r="I37" s="88"/>
      <c r="J37" s="92"/>
      <c r="N37" s="118"/>
      <c r="O37" s="22" t="s">
        <v>14</v>
      </c>
      <c r="P37" s="23" t="s">
        <v>50</v>
      </c>
      <c r="Q37" s="24"/>
      <c r="R37" s="47"/>
      <c r="S37" s="26"/>
      <c r="T37" s="27"/>
      <c r="U37" s="48"/>
      <c r="V37" s="88"/>
      <c r="W37" s="92"/>
    </row>
    <row r="38" spans="1:37">
      <c r="A38" s="114" t="s">
        <v>51</v>
      </c>
      <c r="B38" s="14" t="s">
        <v>12</v>
      </c>
      <c r="C38" s="15" t="s">
        <v>52</v>
      </c>
      <c r="D38" s="16"/>
      <c r="E38" s="49"/>
      <c r="F38" s="18"/>
      <c r="G38" s="19"/>
      <c r="H38" s="20"/>
      <c r="I38" s="87"/>
      <c r="J38" s="87"/>
      <c r="N38" s="114" t="s">
        <v>51</v>
      </c>
      <c r="O38" s="14" t="s">
        <v>12</v>
      </c>
      <c r="P38" s="15" t="s">
        <v>52</v>
      </c>
      <c r="Q38" s="16"/>
      <c r="R38" s="49"/>
      <c r="S38" s="18"/>
      <c r="T38" s="19"/>
      <c r="U38" s="20"/>
      <c r="V38" s="87"/>
      <c r="W38" s="87"/>
    </row>
    <row r="39" spans="1:37" ht="14.5" customHeight="1">
      <c r="A39" s="114"/>
      <c r="B39" s="14" t="s">
        <v>14</v>
      </c>
      <c r="C39" s="15" t="s">
        <v>53</v>
      </c>
      <c r="D39" s="16"/>
      <c r="E39" s="49"/>
      <c r="F39" s="18"/>
      <c r="G39" s="18"/>
      <c r="H39" s="20"/>
      <c r="I39" s="88"/>
      <c r="J39" s="87"/>
      <c r="N39" s="114"/>
      <c r="O39" s="14" t="s">
        <v>14</v>
      </c>
      <c r="P39" s="15" t="s">
        <v>53</v>
      </c>
      <c r="Q39" s="16"/>
      <c r="R39" s="49"/>
      <c r="S39" s="18"/>
      <c r="T39" s="18"/>
      <c r="U39" s="20"/>
      <c r="V39" s="88"/>
      <c r="W39" s="87"/>
    </row>
    <row r="40" spans="1:37">
      <c r="A40" s="118" t="s">
        <v>54</v>
      </c>
      <c r="B40" s="22" t="s">
        <v>12</v>
      </c>
      <c r="C40" s="23"/>
      <c r="D40" s="24"/>
      <c r="E40" s="47"/>
      <c r="F40" s="26"/>
      <c r="G40" s="27"/>
      <c r="H40" s="48"/>
      <c r="I40" s="92"/>
      <c r="J40" s="92"/>
      <c r="N40" s="118" t="s">
        <v>54</v>
      </c>
      <c r="O40" s="22" t="s">
        <v>12</v>
      </c>
      <c r="P40" s="23"/>
      <c r="Q40" s="24"/>
      <c r="R40" s="47"/>
      <c r="S40" s="26"/>
      <c r="T40" s="27"/>
      <c r="U40" s="48"/>
      <c r="V40" s="92"/>
      <c r="W40" s="92"/>
      <c r="AB40" t="s">
        <v>175</v>
      </c>
    </row>
    <row r="41" spans="1:37" ht="15" customHeight="1" thickBot="1">
      <c r="A41" s="120"/>
      <c r="B41" s="52" t="s">
        <v>14</v>
      </c>
      <c r="C41" s="53" t="s">
        <v>55</v>
      </c>
      <c r="D41" s="54"/>
      <c r="E41" s="55"/>
      <c r="F41" s="56"/>
      <c r="G41" s="57"/>
      <c r="H41" s="58"/>
      <c r="I41" s="94"/>
      <c r="J41" s="94"/>
      <c r="N41" s="120"/>
      <c r="O41" s="52" t="s">
        <v>14</v>
      </c>
      <c r="P41" s="53" t="s">
        <v>55</v>
      </c>
      <c r="Q41" s="54"/>
      <c r="R41" s="55"/>
      <c r="S41" s="56"/>
      <c r="T41" s="57"/>
      <c r="U41" s="58"/>
      <c r="V41" s="94"/>
      <c r="W41" s="94"/>
      <c r="AB41">
        <v>325</v>
      </c>
      <c r="AC41" t="s">
        <v>176</v>
      </c>
      <c r="AD41">
        <f>AB41*1852</f>
        <v>601900</v>
      </c>
      <c r="AE41" t="s">
        <v>153</v>
      </c>
    </row>
    <row r="43" spans="1:37" ht="15" thickBot="1"/>
    <row r="44" spans="1:37">
      <c r="B44" t="s">
        <v>84</v>
      </c>
      <c r="E44" t="s">
        <v>90</v>
      </c>
      <c r="AB44" s="121" t="s">
        <v>94</v>
      </c>
      <c r="AC44" s="122"/>
      <c r="AD44" s="123"/>
      <c r="AE44" s="115" t="s">
        <v>80</v>
      </c>
      <c r="AF44" s="116"/>
      <c r="AG44" s="116"/>
      <c r="AH44" s="116"/>
      <c r="AI44" s="116"/>
      <c r="AJ44" s="117"/>
      <c r="AK44" s="117"/>
    </row>
    <row r="45" spans="1:37" ht="44" thickBot="1">
      <c r="A45" t="s">
        <v>83</v>
      </c>
      <c r="B45">
        <v>240</v>
      </c>
      <c r="E45" t="s">
        <v>93</v>
      </c>
      <c r="AB45" s="124"/>
      <c r="AC45" s="125"/>
      <c r="AD45" s="126"/>
      <c r="AE45" s="9" t="s">
        <v>6</v>
      </c>
      <c r="AF45" s="10" t="s">
        <v>7</v>
      </c>
      <c r="AG45" s="11" t="s">
        <v>8</v>
      </c>
      <c r="AH45" s="12" t="s">
        <v>9</v>
      </c>
      <c r="AI45" s="13" t="s">
        <v>10</v>
      </c>
      <c r="AJ45" s="12" t="s">
        <v>78</v>
      </c>
      <c r="AK45" s="12" t="s">
        <v>95</v>
      </c>
    </row>
    <row r="46" spans="1:37">
      <c r="A46" t="s">
        <v>85</v>
      </c>
      <c r="B46">
        <v>11700</v>
      </c>
      <c r="AB46" s="114" t="s">
        <v>11</v>
      </c>
      <c r="AC46" s="14" t="s">
        <v>12</v>
      </c>
      <c r="AD46" s="15" t="s">
        <v>13</v>
      </c>
      <c r="AE46" s="16">
        <f>15*0.5144</f>
        <v>7.7159999999999993</v>
      </c>
      <c r="AF46" s="17">
        <v>60</v>
      </c>
      <c r="AG46" s="18"/>
      <c r="AH46" s="19"/>
      <c r="AI46" s="20"/>
      <c r="AJ46" s="87"/>
      <c r="AK46" s="87"/>
    </row>
    <row r="47" spans="1:37">
      <c r="AB47" s="114"/>
      <c r="AC47" s="14" t="s">
        <v>14</v>
      </c>
      <c r="AD47" s="15"/>
      <c r="AE47" s="16"/>
      <c r="AF47" s="21"/>
      <c r="AG47" s="18"/>
      <c r="AH47" s="19"/>
      <c r="AI47" s="20"/>
      <c r="AJ47" s="87"/>
      <c r="AK47" s="87"/>
    </row>
    <row r="48" spans="1:37">
      <c r="AB48" s="118" t="s">
        <v>15</v>
      </c>
      <c r="AC48" s="22" t="s">
        <v>12</v>
      </c>
      <c r="AD48" s="23"/>
      <c r="AE48" s="24"/>
      <c r="AF48" s="25"/>
      <c r="AG48" s="26"/>
      <c r="AH48" s="27"/>
      <c r="AI48" s="28"/>
      <c r="AJ48" s="88"/>
      <c r="AK48" s="88"/>
    </row>
    <row r="49" spans="28:37">
      <c r="AB49" s="118"/>
      <c r="AC49" s="22" t="s">
        <v>14</v>
      </c>
      <c r="AD49" s="23" t="s">
        <v>16</v>
      </c>
      <c r="AE49" s="24">
        <f>1500*0.3048/60</f>
        <v>7.620000000000001</v>
      </c>
      <c r="AF49" s="29">
        <f>AJ49/AE49</f>
        <v>354.3307086614173</v>
      </c>
      <c r="AG49" s="26"/>
      <c r="AH49" s="27"/>
      <c r="AI49" s="28"/>
      <c r="AJ49" s="88">
        <v>2700</v>
      </c>
      <c r="AK49" s="88">
        <f>AJ49</f>
        <v>2700</v>
      </c>
    </row>
    <row r="50" spans="28:37">
      <c r="AB50" s="114" t="s">
        <v>17</v>
      </c>
      <c r="AC50" s="14" t="s">
        <v>12</v>
      </c>
      <c r="AD50" s="15" t="s">
        <v>18</v>
      </c>
      <c r="AE50" s="16">
        <f>70*0.5144</f>
        <v>36.007999999999996</v>
      </c>
      <c r="AF50" s="21">
        <v>30</v>
      </c>
      <c r="AG50" s="18">
        <f>AE50*AF50</f>
        <v>1080.2399999999998</v>
      </c>
      <c r="AH50" s="19"/>
      <c r="AI50" s="20"/>
      <c r="AJ50" s="87"/>
      <c r="AK50" s="87"/>
    </row>
    <row r="51" spans="28:37">
      <c r="AB51" s="114"/>
      <c r="AC51" s="14" t="s">
        <v>14</v>
      </c>
      <c r="AD51" s="15" t="s">
        <v>19</v>
      </c>
      <c r="AE51" s="110">
        <f>10*0.5144</f>
        <v>5.1440000000000001</v>
      </c>
      <c r="AF51" s="21"/>
      <c r="AG51" s="18"/>
      <c r="AH51" s="19"/>
      <c r="AI51" s="20"/>
      <c r="AJ51" s="88">
        <f>AE51*AF50</f>
        <v>154.32</v>
      </c>
      <c r="AK51" s="87">
        <f>AK49+AJ51</f>
        <v>2854.32</v>
      </c>
    </row>
    <row r="52" spans="28:37">
      <c r="AB52" s="118" t="s">
        <v>20</v>
      </c>
      <c r="AC52" s="22" t="s">
        <v>12</v>
      </c>
      <c r="AD52" s="23" t="s">
        <v>21</v>
      </c>
      <c r="AE52" s="24">
        <v>0</v>
      </c>
      <c r="AF52" s="30">
        <v>0</v>
      </c>
      <c r="AG52" s="26"/>
      <c r="AH52" s="27"/>
      <c r="AI52" s="28"/>
      <c r="AJ52" s="88"/>
      <c r="AK52" s="88"/>
    </row>
    <row r="53" spans="28:37">
      <c r="AB53" s="118"/>
      <c r="AC53" s="22" t="s">
        <v>14</v>
      </c>
      <c r="AD53" s="23"/>
      <c r="AE53" s="24">
        <v>0</v>
      </c>
      <c r="AF53" s="29"/>
      <c r="AG53" s="26"/>
      <c r="AH53" s="27"/>
      <c r="AI53" s="28"/>
      <c r="AJ53" s="88"/>
      <c r="AK53" s="88"/>
    </row>
    <row r="54" spans="28:37">
      <c r="AB54" s="114" t="s">
        <v>22</v>
      </c>
      <c r="AC54" s="14" t="s">
        <v>12</v>
      </c>
      <c r="AD54" s="15" t="s">
        <v>23</v>
      </c>
      <c r="AE54" s="16">
        <f>SQRT((448000/3600)^2-AE55^2)</f>
        <v>124.00771269821072</v>
      </c>
      <c r="AF54" s="21">
        <f>AJ55/AE55</f>
        <v>422.36928000000006</v>
      </c>
      <c r="AG54" s="18">
        <f>AE54*AF54</f>
        <v>52377.048326790129</v>
      </c>
      <c r="AH54" s="19"/>
      <c r="AI54" s="20"/>
      <c r="AJ54" s="87"/>
      <c r="AK54" s="87"/>
    </row>
    <row r="55" spans="28:37">
      <c r="AB55" s="114"/>
      <c r="AC55" s="14" t="s">
        <v>14</v>
      </c>
      <c r="AD55" s="15" t="s">
        <v>24</v>
      </c>
      <c r="AE55" s="110">
        <f>625/60</f>
        <v>10.416666666666666</v>
      </c>
      <c r="AF55" s="21"/>
      <c r="AG55" s="18"/>
      <c r="AH55" s="19"/>
      <c r="AI55" s="20"/>
      <c r="AJ55" s="88">
        <f>AK55-AK51</f>
        <v>4399.68</v>
      </c>
      <c r="AK55" s="87">
        <v>7254</v>
      </c>
    </row>
    <row r="56" spans="28:37">
      <c r="AB56" s="119" t="s">
        <v>72</v>
      </c>
      <c r="AC56" s="31" t="s">
        <v>12</v>
      </c>
      <c r="AD56" s="32" t="s">
        <v>25</v>
      </c>
      <c r="AE56" s="110">
        <f>448000/3600</f>
        <v>124.44444444444444</v>
      </c>
      <c r="AF56" s="34">
        <f>AG56/AE56</f>
        <v>4407.1289330882937</v>
      </c>
      <c r="AG56" s="35">
        <f>AD41-AG54-AG50</f>
        <v>548442.71167320991</v>
      </c>
      <c r="AH56" s="36"/>
      <c r="AI56" s="37"/>
      <c r="AJ56" s="89"/>
      <c r="AK56" s="89"/>
    </row>
    <row r="57" spans="28:37">
      <c r="AB57" s="119"/>
      <c r="AC57" s="31" t="s">
        <v>14</v>
      </c>
      <c r="AD57" s="32"/>
      <c r="AE57" s="33"/>
      <c r="AF57" s="38"/>
      <c r="AG57" s="35"/>
      <c r="AH57" s="36"/>
      <c r="AI57" s="37"/>
      <c r="AJ57" s="89"/>
      <c r="AK57" s="89"/>
    </row>
    <row r="58" spans="28:37">
      <c r="AB58" s="119" t="s">
        <v>73</v>
      </c>
      <c r="AC58" s="31" t="s">
        <v>12</v>
      </c>
      <c r="AD58" s="32" t="s">
        <v>25</v>
      </c>
      <c r="AE58" s="110">
        <f>AE56</f>
        <v>124.44444444444444</v>
      </c>
      <c r="AF58" s="34">
        <f>AG58/AE58</f>
        <v>4407.1289330882937</v>
      </c>
      <c r="AG58" s="35">
        <f>AG56</f>
        <v>548442.71167320991</v>
      </c>
      <c r="AH58" s="36"/>
      <c r="AI58" s="37"/>
      <c r="AJ58" s="89"/>
      <c r="AK58" s="89"/>
    </row>
    <row r="59" spans="28:37">
      <c r="AB59" s="119"/>
      <c r="AC59" s="31" t="s">
        <v>14</v>
      </c>
      <c r="AD59" s="32"/>
      <c r="AE59" s="33"/>
      <c r="AF59" s="38"/>
      <c r="AG59" s="35"/>
      <c r="AH59" s="36"/>
      <c r="AI59" s="37"/>
      <c r="AJ59" s="89"/>
      <c r="AK59" s="89"/>
    </row>
    <row r="60" spans="28:37">
      <c r="AB60" s="114" t="s">
        <v>26</v>
      </c>
      <c r="AC60" s="14" t="s">
        <v>12</v>
      </c>
      <c r="AD60" s="15" t="s">
        <v>27</v>
      </c>
      <c r="AE60" s="16">
        <f>AE54</f>
        <v>124.00771269821072</v>
      </c>
      <c r="AF60" s="21">
        <f>AF54</f>
        <v>422.36928000000006</v>
      </c>
      <c r="AG60" s="18"/>
      <c r="AH60" s="19"/>
      <c r="AI60" s="20"/>
      <c r="AJ60" s="87"/>
      <c r="AK60" s="87"/>
    </row>
    <row r="61" spans="28:37">
      <c r="AB61" s="114"/>
      <c r="AC61" s="14" t="s">
        <v>14</v>
      </c>
      <c r="AD61" s="15" t="s">
        <v>28</v>
      </c>
      <c r="AE61" s="110">
        <f>AE55</f>
        <v>10.416666666666666</v>
      </c>
      <c r="AF61" s="21"/>
      <c r="AG61" s="18"/>
      <c r="AH61" s="19"/>
      <c r="AI61" s="20"/>
      <c r="AJ61" s="88"/>
      <c r="AK61" s="87"/>
    </row>
    <row r="62" spans="28:37">
      <c r="AB62" s="118" t="s">
        <v>29</v>
      </c>
      <c r="AC62" s="22" t="s">
        <v>12</v>
      </c>
      <c r="AD62" s="23" t="s">
        <v>30</v>
      </c>
      <c r="AE62" s="24">
        <v>0</v>
      </c>
      <c r="AF62" s="30">
        <v>0</v>
      </c>
      <c r="AG62" s="26"/>
      <c r="AH62" s="27"/>
      <c r="AI62" s="28"/>
      <c r="AJ62" s="88"/>
      <c r="AK62" s="88"/>
    </row>
    <row r="63" spans="28:37">
      <c r="AB63" s="118"/>
      <c r="AC63" s="22" t="s">
        <v>14</v>
      </c>
      <c r="AD63" s="23"/>
      <c r="AE63" s="24">
        <v>0</v>
      </c>
      <c r="AF63" s="29"/>
      <c r="AG63" s="26"/>
      <c r="AH63" s="27"/>
      <c r="AI63" s="28"/>
      <c r="AJ63" s="88"/>
      <c r="AK63" s="88"/>
    </row>
    <row r="64" spans="28:37">
      <c r="AB64" s="114" t="s">
        <v>31</v>
      </c>
      <c r="AC64" s="14" t="s">
        <v>12</v>
      </c>
      <c r="AD64" s="15" t="s">
        <v>32</v>
      </c>
      <c r="AE64" s="16">
        <f>AE50</f>
        <v>36.007999999999996</v>
      </c>
      <c r="AF64" s="21">
        <f>AF50</f>
        <v>30</v>
      </c>
      <c r="AG64" s="18"/>
      <c r="AH64" s="19"/>
      <c r="AI64" s="20"/>
      <c r="AJ64" s="87"/>
      <c r="AK64" s="87"/>
    </row>
    <row r="65" spans="28:37">
      <c r="AB65" s="114"/>
      <c r="AC65" s="14" t="s">
        <v>14</v>
      </c>
      <c r="AD65" s="15" t="s">
        <v>33</v>
      </c>
      <c r="AE65" s="110">
        <f>AE51</f>
        <v>5.1440000000000001</v>
      </c>
      <c r="AF65" s="21"/>
      <c r="AG65" s="18"/>
      <c r="AH65" s="19"/>
      <c r="AI65" s="20"/>
      <c r="AJ65" s="88"/>
      <c r="AK65" s="87"/>
    </row>
    <row r="66" spans="28:37">
      <c r="AB66" s="118" t="s">
        <v>34</v>
      </c>
      <c r="AC66" s="22" t="s">
        <v>12</v>
      </c>
      <c r="AD66" s="23"/>
      <c r="AE66" s="24"/>
      <c r="AF66" s="29"/>
      <c r="AG66" s="26"/>
      <c r="AH66" s="27"/>
      <c r="AI66" s="28"/>
      <c r="AJ66" s="88"/>
      <c r="AK66" s="88"/>
    </row>
    <row r="67" spans="28:37">
      <c r="AB67" s="118"/>
      <c r="AC67" s="22" t="s">
        <v>14</v>
      </c>
      <c r="AD67" s="23" t="s">
        <v>35</v>
      </c>
      <c r="AE67" s="24">
        <f>AE49</f>
        <v>7.620000000000001</v>
      </c>
      <c r="AF67" s="29">
        <f>AJ67/AE67</f>
        <v>354.3307086614173</v>
      </c>
      <c r="AG67" s="26"/>
      <c r="AH67" s="27"/>
      <c r="AI67" s="28"/>
      <c r="AJ67" s="88">
        <f>AJ49</f>
        <v>2700</v>
      </c>
      <c r="AK67" s="88"/>
    </row>
    <row r="68" spans="28:37">
      <c r="AB68" s="114" t="s">
        <v>36</v>
      </c>
      <c r="AC68" s="14" t="s">
        <v>12</v>
      </c>
      <c r="AD68" s="15" t="s">
        <v>37</v>
      </c>
      <c r="AE68" s="16">
        <f>AE46</f>
        <v>7.7159999999999993</v>
      </c>
      <c r="AF68" s="17">
        <f>AF46</f>
        <v>60</v>
      </c>
      <c r="AG68" s="18"/>
      <c r="AH68" s="19"/>
      <c r="AI68" s="20"/>
      <c r="AJ68" s="87"/>
      <c r="AK68" s="87"/>
    </row>
    <row r="69" spans="28:37">
      <c r="AB69" s="114"/>
      <c r="AC69" s="14" t="s">
        <v>14</v>
      </c>
      <c r="AD69" s="15"/>
      <c r="AE69" s="16"/>
      <c r="AF69" s="21"/>
      <c r="AG69" s="18"/>
      <c r="AH69" s="19"/>
      <c r="AI69" s="39"/>
      <c r="AJ69" s="90"/>
      <c r="AK69" s="90"/>
    </row>
    <row r="70" spans="28:37">
      <c r="AB70" s="127" t="s">
        <v>38</v>
      </c>
      <c r="AC70" s="40" t="s">
        <v>12</v>
      </c>
      <c r="AD70" s="41"/>
      <c r="AE70" s="42"/>
      <c r="AF70" s="43"/>
      <c r="AG70" s="44"/>
      <c r="AH70" s="45"/>
      <c r="AI70" s="46"/>
      <c r="AJ70" s="91"/>
      <c r="AK70" s="91"/>
    </row>
    <row r="71" spans="28:37">
      <c r="AB71" s="118"/>
      <c r="AC71" s="22" t="s">
        <v>14</v>
      </c>
      <c r="AD71" s="23" t="s">
        <v>39</v>
      </c>
      <c r="AE71" s="24"/>
      <c r="AF71" s="47"/>
      <c r="AG71" s="26"/>
      <c r="AH71" s="27"/>
      <c r="AI71" s="48"/>
      <c r="AJ71" s="88"/>
      <c r="AK71" s="92"/>
    </row>
    <row r="72" spans="28:37">
      <c r="AB72" s="114" t="s">
        <v>40</v>
      </c>
      <c r="AC72" s="14" t="s">
        <v>12</v>
      </c>
      <c r="AD72" s="15" t="s">
        <v>41</v>
      </c>
      <c r="AE72" s="16"/>
      <c r="AF72" s="49"/>
      <c r="AG72" s="18"/>
      <c r="AH72" s="19"/>
      <c r="AI72" s="20"/>
      <c r="AJ72" s="87"/>
      <c r="AK72" s="87"/>
    </row>
    <row r="73" spans="28:37">
      <c r="AB73" s="114"/>
      <c r="AC73" s="14" t="s">
        <v>14</v>
      </c>
      <c r="AD73" s="15" t="s">
        <v>42</v>
      </c>
      <c r="AE73" s="16"/>
      <c r="AF73" s="49"/>
      <c r="AG73" s="18"/>
      <c r="AH73" s="18"/>
      <c r="AI73" s="20"/>
      <c r="AJ73" s="88"/>
      <c r="AK73" s="87"/>
    </row>
    <row r="74" spans="28:37">
      <c r="AB74" s="118" t="s">
        <v>43</v>
      </c>
      <c r="AC74" s="22" t="s">
        <v>12</v>
      </c>
      <c r="AD74" s="23" t="s">
        <v>44</v>
      </c>
      <c r="AE74" s="24"/>
      <c r="AF74" s="47"/>
      <c r="AG74" s="26"/>
      <c r="AH74" s="27"/>
      <c r="AI74" s="48"/>
      <c r="AJ74" s="92"/>
      <c r="AK74" s="92"/>
    </row>
    <row r="75" spans="28:37">
      <c r="AB75" s="118"/>
      <c r="AC75" s="22" t="s">
        <v>14</v>
      </c>
      <c r="AD75" s="23" t="s">
        <v>45</v>
      </c>
      <c r="AE75" s="24"/>
      <c r="AF75" s="47"/>
      <c r="AG75" s="26"/>
      <c r="AH75" s="27"/>
      <c r="AI75" s="48"/>
      <c r="AJ75" s="88"/>
      <c r="AK75" s="92"/>
    </row>
    <row r="76" spans="28:37">
      <c r="AB76" s="119" t="s">
        <v>46</v>
      </c>
      <c r="AC76" s="31" t="s">
        <v>12</v>
      </c>
      <c r="AD76" s="32" t="s">
        <v>47</v>
      </c>
      <c r="AE76" s="33"/>
      <c r="AF76" s="50"/>
      <c r="AG76" s="35"/>
      <c r="AH76" s="35"/>
      <c r="AI76" s="51"/>
      <c r="AJ76" s="93"/>
      <c r="AK76" s="93"/>
    </row>
    <row r="77" spans="28:37">
      <c r="AB77" s="119"/>
      <c r="AC77" s="31" t="s">
        <v>14</v>
      </c>
      <c r="AD77" s="32"/>
      <c r="AE77" s="33"/>
      <c r="AF77" s="50"/>
      <c r="AG77" s="35"/>
      <c r="AH77" s="35"/>
      <c r="AI77" s="51"/>
      <c r="AJ77" s="93"/>
      <c r="AK77" s="93"/>
    </row>
    <row r="78" spans="28:37">
      <c r="AB78" s="118" t="s">
        <v>48</v>
      </c>
      <c r="AC78" s="22" t="s">
        <v>12</v>
      </c>
      <c r="AD78" s="23" t="s">
        <v>49</v>
      </c>
      <c r="AE78" s="24"/>
      <c r="AF78" s="47"/>
      <c r="AG78" s="26"/>
      <c r="AH78" s="27"/>
      <c r="AI78" s="48"/>
      <c r="AJ78" s="92"/>
      <c r="AK78" s="92"/>
    </row>
    <row r="79" spans="28:37">
      <c r="AB79" s="118"/>
      <c r="AC79" s="22" t="s">
        <v>14</v>
      </c>
      <c r="AD79" s="23" t="s">
        <v>50</v>
      </c>
      <c r="AE79" s="24"/>
      <c r="AF79" s="47"/>
      <c r="AG79" s="26"/>
      <c r="AH79" s="27"/>
      <c r="AI79" s="48"/>
      <c r="AJ79" s="88"/>
      <c r="AK79" s="92"/>
    </row>
    <row r="80" spans="28:37">
      <c r="AB80" s="114" t="s">
        <v>51</v>
      </c>
      <c r="AC80" s="14" t="s">
        <v>12</v>
      </c>
      <c r="AD80" s="15" t="s">
        <v>52</v>
      </c>
      <c r="AE80" s="16"/>
      <c r="AF80" s="49"/>
      <c r="AG80" s="18"/>
      <c r="AH80" s="19"/>
      <c r="AI80" s="20"/>
      <c r="AJ80" s="87"/>
      <c r="AK80" s="87"/>
    </row>
    <row r="81" spans="28:37">
      <c r="AB81" s="114"/>
      <c r="AC81" s="14" t="s">
        <v>14</v>
      </c>
      <c r="AD81" s="15" t="s">
        <v>53</v>
      </c>
      <c r="AE81" s="16"/>
      <c r="AF81" s="49"/>
      <c r="AG81" s="18"/>
      <c r="AH81" s="18"/>
      <c r="AI81" s="20"/>
      <c r="AJ81" s="88"/>
      <c r="AK81" s="87"/>
    </row>
    <row r="82" spans="28:37">
      <c r="AB82" s="118" t="s">
        <v>54</v>
      </c>
      <c r="AC82" s="22" t="s">
        <v>12</v>
      </c>
      <c r="AD82" s="23"/>
      <c r="AE82" s="24"/>
      <c r="AF82" s="47"/>
      <c r="AG82" s="26"/>
      <c r="AH82" s="27"/>
      <c r="AI82" s="48"/>
      <c r="AJ82" s="92"/>
      <c r="AK82" s="92"/>
    </row>
    <row r="83" spans="28:37" ht="15" thickBot="1">
      <c r="AB83" s="120"/>
      <c r="AC83" s="52" t="s">
        <v>14</v>
      </c>
      <c r="AD83" s="53" t="s">
        <v>55</v>
      </c>
      <c r="AE83" s="54"/>
      <c r="AF83" s="55"/>
      <c r="AG83" s="56"/>
      <c r="AH83" s="57"/>
      <c r="AI83" s="58"/>
      <c r="AJ83" s="94"/>
      <c r="AK83" s="94"/>
    </row>
  </sheetData>
  <mergeCells count="63">
    <mergeCell ref="AB82:AB83"/>
    <mergeCell ref="AB72:AB73"/>
    <mergeCell ref="AB74:AB75"/>
    <mergeCell ref="AB76:AB77"/>
    <mergeCell ref="AB78:AB79"/>
    <mergeCell ref="AB80:AB81"/>
    <mergeCell ref="AB62:AB63"/>
    <mergeCell ref="AB64:AB65"/>
    <mergeCell ref="AB66:AB67"/>
    <mergeCell ref="AB68:AB69"/>
    <mergeCell ref="AB70:AB71"/>
    <mergeCell ref="AB52:AB53"/>
    <mergeCell ref="AB54:AB55"/>
    <mergeCell ref="AB56:AB57"/>
    <mergeCell ref="AB58:AB59"/>
    <mergeCell ref="AB60:AB61"/>
    <mergeCell ref="AB44:AD45"/>
    <mergeCell ref="AE44:AK44"/>
    <mergeCell ref="AB46:AB47"/>
    <mergeCell ref="AB48:AB49"/>
    <mergeCell ref="AB50:AB51"/>
    <mergeCell ref="N38:N39"/>
    <mergeCell ref="N40:N41"/>
    <mergeCell ref="N22:N23"/>
    <mergeCell ref="N24:N25"/>
    <mergeCell ref="N26:N27"/>
    <mergeCell ref="N28:N29"/>
    <mergeCell ref="N30:N31"/>
    <mergeCell ref="N32:N33"/>
    <mergeCell ref="N2:P3"/>
    <mergeCell ref="Q2:W2"/>
    <mergeCell ref="N4:N5"/>
    <mergeCell ref="N6:N7"/>
    <mergeCell ref="N8:N9"/>
    <mergeCell ref="N10:N11"/>
    <mergeCell ref="N12:N13"/>
    <mergeCell ref="N34:N35"/>
    <mergeCell ref="N36:N37"/>
    <mergeCell ref="N14:N15"/>
    <mergeCell ref="N16:N17"/>
    <mergeCell ref="N18:N19"/>
    <mergeCell ref="N20:N21"/>
    <mergeCell ref="A40:A41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12:A13"/>
    <mergeCell ref="A14:A15"/>
    <mergeCell ref="A16:A17"/>
    <mergeCell ref="A2:C3"/>
    <mergeCell ref="D2:J2"/>
    <mergeCell ref="A4:A5"/>
    <mergeCell ref="A6:A7"/>
    <mergeCell ref="A8:A9"/>
    <mergeCell ref="A10:A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8C851-EDD4-482F-B5F5-3E6E23C8A207}">
  <dimension ref="A1:D21"/>
  <sheetViews>
    <sheetView workbookViewId="0">
      <selection activeCell="D21" sqref="D21"/>
    </sheetView>
  </sheetViews>
  <sheetFormatPr defaultRowHeight="14.5"/>
  <cols>
    <col min="1" max="1" width="9.90625" customWidth="1"/>
    <col min="2" max="2" width="8.81640625" customWidth="1"/>
    <col min="3" max="3" width="19.90625" customWidth="1"/>
    <col min="4" max="4" width="13.26953125" customWidth="1"/>
  </cols>
  <sheetData>
    <row r="1" spans="1:4">
      <c r="A1" t="s">
        <v>111</v>
      </c>
      <c r="B1" t="s">
        <v>112</v>
      </c>
      <c r="C1" t="s">
        <v>116</v>
      </c>
      <c r="D1" t="s">
        <v>113</v>
      </c>
    </row>
    <row r="2" spans="1:4" hidden="1">
      <c r="A2" t="s">
        <v>114</v>
      </c>
      <c r="B2" t="s">
        <v>115</v>
      </c>
      <c r="C2">
        <f>80*1000</f>
        <v>80000</v>
      </c>
      <c r="D2" t="s">
        <v>123</v>
      </c>
    </row>
    <row r="3" spans="1:4" hidden="1">
      <c r="A3" t="s">
        <v>114</v>
      </c>
      <c r="B3" t="s">
        <v>117</v>
      </c>
      <c r="C3">
        <v>5000</v>
      </c>
      <c r="D3" t="s">
        <v>118</v>
      </c>
    </row>
    <row r="4" spans="1:4" hidden="1">
      <c r="A4" t="s">
        <v>114</v>
      </c>
      <c r="B4" t="s">
        <v>119</v>
      </c>
      <c r="C4">
        <f>15000</f>
        <v>15000</v>
      </c>
      <c r="D4" t="s">
        <v>120</v>
      </c>
    </row>
    <row r="5" spans="1:4" hidden="1">
      <c r="A5" t="s">
        <v>114</v>
      </c>
      <c r="B5" t="s">
        <v>121</v>
      </c>
      <c r="C5">
        <f>30*1000</f>
        <v>30000</v>
      </c>
      <c r="D5" t="s">
        <v>122</v>
      </c>
    </row>
    <row r="6" spans="1:4" hidden="1">
      <c r="A6" t="s">
        <v>114</v>
      </c>
      <c r="B6" t="s">
        <v>124</v>
      </c>
      <c r="C6">
        <f>35000</f>
        <v>35000</v>
      </c>
      <c r="D6" t="s">
        <v>120</v>
      </c>
    </row>
    <row r="7" spans="1:4" hidden="1">
      <c r="A7" t="s">
        <v>114</v>
      </c>
      <c r="B7" t="s">
        <v>125</v>
      </c>
      <c r="C7">
        <f>45000</f>
        <v>45000</v>
      </c>
      <c r="D7" t="s">
        <v>118</v>
      </c>
    </row>
    <row r="8" spans="1:4" hidden="1">
      <c r="A8" t="s">
        <v>126</v>
      </c>
      <c r="B8" t="s">
        <v>127</v>
      </c>
      <c r="C8">
        <v>16000</v>
      </c>
      <c r="D8" t="s">
        <v>123</v>
      </c>
    </row>
    <row r="9" spans="1:4" hidden="1">
      <c r="A9" t="s">
        <v>126</v>
      </c>
      <c r="B9" t="s">
        <v>129</v>
      </c>
      <c r="C9">
        <v>12000</v>
      </c>
      <c r="D9" t="s">
        <v>130</v>
      </c>
    </row>
    <row r="10" spans="1:4" hidden="1">
      <c r="A10" t="s">
        <v>126</v>
      </c>
      <c r="B10" t="s">
        <v>128</v>
      </c>
      <c r="C10">
        <v>23000</v>
      </c>
      <c r="D10" t="s">
        <v>122</v>
      </c>
    </row>
    <row r="11" spans="1:4" hidden="1">
      <c r="A11" t="s">
        <v>126</v>
      </c>
      <c r="B11" t="s">
        <v>131</v>
      </c>
      <c r="C11">
        <v>16000</v>
      </c>
      <c r="D11" t="s">
        <v>130</v>
      </c>
    </row>
    <row r="12" spans="1:4" hidden="1">
      <c r="A12" t="s">
        <v>126</v>
      </c>
      <c r="B12" t="s">
        <v>132</v>
      </c>
      <c r="C12">
        <v>23000</v>
      </c>
      <c r="D12" t="s">
        <v>130</v>
      </c>
    </row>
    <row r="13" spans="1:4" hidden="1">
      <c r="A13" t="s">
        <v>126</v>
      </c>
      <c r="B13" t="s">
        <v>133</v>
      </c>
      <c r="C13">
        <v>43000</v>
      </c>
      <c r="D13" t="s">
        <v>122</v>
      </c>
    </row>
    <row r="14" spans="1:4" hidden="1">
      <c r="A14" t="s">
        <v>126</v>
      </c>
      <c r="B14" t="s">
        <v>134</v>
      </c>
      <c r="C14">
        <v>74000</v>
      </c>
      <c r="D14" t="s">
        <v>122</v>
      </c>
    </row>
    <row r="15" spans="1:4">
      <c r="A15" t="s">
        <v>135</v>
      </c>
      <c r="B15" t="s">
        <v>136</v>
      </c>
      <c r="C15">
        <v>300000</v>
      </c>
      <c r="D15" t="s">
        <v>123</v>
      </c>
    </row>
    <row r="16" spans="1:4">
      <c r="A16" t="s">
        <v>135</v>
      </c>
      <c r="B16" t="s">
        <v>137</v>
      </c>
      <c r="C16">
        <v>300000</v>
      </c>
      <c r="D16" t="s">
        <v>123</v>
      </c>
    </row>
    <row r="17" spans="1:4">
      <c r="A17" t="s">
        <v>135</v>
      </c>
      <c r="B17" t="s">
        <v>138</v>
      </c>
      <c r="C17">
        <v>300000</v>
      </c>
      <c r="D17" t="s">
        <v>122</v>
      </c>
    </row>
    <row r="18" spans="1:4">
      <c r="A18" t="s">
        <v>135</v>
      </c>
      <c r="B18" t="s">
        <v>139</v>
      </c>
      <c r="C18">
        <v>475000</v>
      </c>
      <c r="D18" t="s">
        <v>123</v>
      </c>
    </row>
    <row r="19" spans="1:4">
      <c r="A19" t="s">
        <v>135</v>
      </c>
      <c r="B19" t="s">
        <v>140</v>
      </c>
      <c r="C19">
        <v>40000</v>
      </c>
      <c r="D19" t="s">
        <v>122</v>
      </c>
    </row>
    <row r="20" spans="1:4">
      <c r="A20" t="s">
        <v>135</v>
      </c>
      <c r="B20" t="s">
        <v>141</v>
      </c>
      <c r="C20">
        <v>60000</v>
      </c>
      <c r="D20" t="s">
        <v>122</v>
      </c>
    </row>
    <row r="21" spans="1:4">
      <c r="A21" t="s">
        <v>135</v>
      </c>
      <c r="B21" t="s">
        <v>142</v>
      </c>
      <c r="C21">
        <v>95000</v>
      </c>
      <c r="D21" t="s">
        <v>130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5A5F7-69A5-4C60-8F0E-FCEB4CCF6F95}">
  <dimension ref="A1:N79"/>
  <sheetViews>
    <sheetView tabSelected="1" topLeftCell="A53" zoomScale="72" zoomScaleNormal="140" workbookViewId="0">
      <selection activeCell="A79" sqref="A79"/>
    </sheetView>
  </sheetViews>
  <sheetFormatPr defaultRowHeight="14.5"/>
  <cols>
    <col min="1" max="1" width="12.1796875" customWidth="1"/>
  </cols>
  <sheetData>
    <row r="1" spans="1:14">
      <c r="B1" t="s">
        <v>220</v>
      </c>
    </row>
    <row r="3" spans="1:14" s="130" customFormat="1">
      <c r="A3" s="130" t="s">
        <v>178</v>
      </c>
      <c r="B3" s="130" t="s">
        <v>180</v>
      </c>
      <c r="D3" s="130" t="s">
        <v>221</v>
      </c>
    </row>
    <row r="4" spans="1:14" s="131" customFormat="1">
      <c r="A4" s="131" t="s">
        <v>179</v>
      </c>
      <c r="B4" s="131" t="s">
        <v>183</v>
      </c>
      <c r="D4" s="131" t="s">
        <v>184</v>
      </c>
      <c r="H4" s="131" t="s">
        <v>197</v>
      </c>
      <c r="L4" s="131" t="s">
        <v>209</v>
      </c>
      <c r="N4" s="131" t="s">
        <v>214</v>
      </c>
    </row>
    <row r="5" spans="1:14" s="131" customFormat="1">
      <c r="B5" s="131" t="s">
        <v>181</v>
      </c>
      <c r="C5" s="131" t="s">
        <v>182</v>
      </c>
      <c r="D5" s="131" t="s">
        <v>181</v>
      </c>
      <c r="E5" s="131" t="s">
        <v>182</v>
      </c>
      <c r="H5" s="131" t="s">
        <v>198</v>
      </c>
      <c r="L5" s="131" t="s">
        <v>211</v>
      </c>
      <c r="M5" s="131" t="s">
        <v>213</v>
      </c>
      <c r="N5" s="131">
        <f>CONVERT(74, "gal", "l")</f>
        <v>280.12047201600001</v>
      </c>
    </row>
    <row r="6" spans="1:14" s="131" customFormat="1">
      <c r="A6" s="131" t="s">
        <v>185</v>
      </c>
      <c r="B6" s="131">
        <v>659</v>
      </c>
      <c r="C6" s="131">
        <v>497</v>
      </c>
      <c r="D6" s="131">
        <f>CONVERT(B6, "lbm", "g")/1000/3600</f>
        <v>8.3032603286111117E-2</v>
      </c>
      <c r="E6" s="131">
        <f>CONVERT(C6, "lbm", "g")/1000/3600</f>
        <v>6.2620946636111105E-2</v>
      </c>
      <c r="F6" s="131" t="s">
        <v>193</v>
      </c>
      <c r="L6" s="131" t="s">
        <v>212</v>
      </c>
      <c r="M6" s="131">
        <v>2</v>
      </c>
      <c r="N6" s="131">
        <f>N5*2</f>
        <v>560.24094403200002</v>
      </c>
    </row>
    <row r="7" spans="1:14" s="131" customFormat="1">
      <c r="A7" s="131" t="s">
        <v>186</v>
      </c>
      <c r="B7" s="131">
        <v>716</v>
      </c>
      <c r="C7" s="131">
        <v>521</v>
      </c>
      <c r="D7" s="131">
        <f t="shared" ref="D7:D15" si="0">CONVERT(B7, "lbm", "g")/1000/3600</f>
        <v>9.0214482477777788E-2</v>
      </c>
      <c r="E7" s="131">
        <f t="shared" ref="E7:E15" si="1">CONVERT(C7, "lbm", "g")/1000/3600</f>
        <v>6.5644895769444447E-2</v>
      </c>
      <c r="F7" s="131" t="s">
        <v>194</v>
      </c>
      <c r="L7" s="131" t="s">
        <v>210</v>
      </c>
    </row>
    <row r="8" spans="1:14" s="131" customFormat="1">
      <c r="A8" s="131" t="s">
        <v>187</v>
      </c>
      <c r="B8" s="131">
        <v>620</v>
      </c>
      <c r="C8" s="131">
        <v>472</v>
      </c>
      <c r="D8" s="131">
        <f t="shared" si="0"/>
        <v>7.8118685944444446E-2</v>
      </c>
      <c r="E8" s="131">
        <f t="shared" si="1"/>
        <v>5.9470999622222229E-2</v>
      </c>
      <c r="H8" s="131" t="s">
        <v>199</v>
      </c>
      <c r="I8" s="131" t="s">
        <v>200</v>
      </c>
      <c r="L8" s="131" t="s">
        <v>215</v>
      </c>
      <c r="M8" s="131">
        <f>N6*0.8</f>
        <v>448.19275522560002</v>
      </c>
    </row>
    <row r="9" spans="1:14" s="131" customFormat="1">
      <c r="A9" s="131">
        <v>40</v>
      </c>
      <c r="B9" s="131">
        <v>524</v>
      </c>
      <c r="C9" s="131">
        <v>422</v>
      </c>
      <c r="D9" s="131">
        <f t="shared" si="0"/>
        <v>6.6022889411111119E-2</v>
      </c>
      <c r="E9" s="131">
        <f t="shared" si="1"/>
        <v>5.3171105594444441E-2</v>
      </c>
      <c r="H9" s="131">
        <f>B9+6</f>
        <v>530</v>
      </c>
      <c r="I9" s="131">
        <f>CONVERT(H9, "lbm", "g")/1000/3600</f>
        <v>6.6778876694444447E-2</v>
      </c>
      <c r="L9" s="131" t="s">
        <v>216</v>
      </c>
      <c r="M9" s="131">
        <f>M8*0.9</f>
        <v>403.37347970304</v>
      </c>
    </row>
    <row r="10" spans="1:14" s="131" customFormat="1">
      <c r="A10" s="131">
        <v>60</v>
      </c>
      <c r="B10" s="131">
        <v>490</v>
      </c>
      <c r="C10" s="131">
        <v>419</v>
      </c>
      <c r="D10" s="131">
        <f t="shared" si="0"/>
        <v>6.1738961472222229E-2</v>
      </c>
      <c r="E10" s="131">
        <f t="shared" si="1"/>
        <v>5.2793111952777777E-2</v>
      </c>
      <c r="H10" s="131">
        <f>B10+22</f>
        <v>512</v>
      </c>
      <c r="I10" s="131">
        <f t="shared" ref="I10:I15" si="2">CONVERT(H10, "lbm", "g")/1000/3600</f>
        <v>6.4510914844444447E-2</v>
      </c>
      <c r="L10" s="131" t="s">
        <v>62</v>
      </c>
      <c r="M10" s="131">
        <f>M8-M9</f>
        <v>44.819275522560019</v>
      </c>
    </row>
    <row r="11" spans="1:14" s="131" customFormat="1">
      <c r="A11" s="131">
        <v>80</v>
      </c>
      <c r="B11" s="131">
        <v>510</v>
      </c>
      <c r="C11" s="131">
        <v>441</v>
      </c>
      <c r="D11" s="131">
        <f t="shared" si="0"/>
        <v>6.4258919083333338E-2</v>
      </c>
      <c r="E11" s="131">
        <f t="shared" si="1"/>
        <v>5.5565065324999996E-2</v>
      </c>
      <c r="H11" s="131">
        <f>B11+51</f>
        <v>561</v>
      </c>
      <c r="I11" s="131">
        <f t="shared" si="2"/>
        <v>7.0684810991666666E-2</v>
      </c>
      <c r="L11" s="131" t="s">
        <v>217</v>
      </c>
      <c r="M11" s="131">
        <f>600</f>
        <v>600</v>
      </c>
    </row>
    <row r="12" spans="1:14" s="131" customFormat="1">
      <c r="A12" s="131">
        <v>100</v>
      </c>
      <c r="B12" s="131">
        <v>574</v>
      </c>
      <c r="C12" s="131">
        <v>495</v>
      </c>
      <c r="D12" s="131">
        <f t="shared" si="0"/>
        <v>7.2322783438888885E-2</v>
      </c>
      <c r="E12" s="131">
        <f t="shared" si="1"/>
        <v>6.2368950875000002E-2</v>
      </c>
      <c r="H12" s="131">
        <f>B12+102</f>
        <v>676</v>
      </c>
      <c r="I12" s="131">
        <f t="shared" si="2"/>
        <v>8.5174567255555569E-2</v>
      </c>
      <c r="L12" s="131" t="s">
        <v>218</v>
      </c>
      <c r="M12" s="131">
        <f>M8/M11</f>
        <v>0.74698792537600001</v>
      </c>
      <c r="N12" s="131" t="s">
        <v>219</v>
      </c>
    </row>
    <row r="13" spans="1:14" s="131" customFormat="1">
      <c r="A13" s="131">
        <v>120</v>
      </c>
      <c r="B13" s="131">
        <v>687</v>
      </c>
      <c r="C13" s="131">
        <v>580</v>
      </c>
      <c r="D13" s="131">
        <f t="shared" si="0"/>
        <v>8.6560543941666679E-2</v>
      </c>
      <c r="E13" s="131">
        <f t="shared" si="1"/>
        <v>7.3078770722222228E-2</v>
      </c>
      <c r="H13" s="131">
        <f>B13+192</f>
        <v>879</v>
      </c>
      <c r="I13" s="131">
        <f t="shared" si="2"/>
        <v>0.11075213700833333</v>
      </c>
    </row>
    <row r="14" spans="1:14" s="131" customFormat="1">
      <c r="A14" s="131">
        <v>140</v>
      </c>
      <c r="B14" s="131">
        <v>860</v>
      </c>
      <c r="C14" s="131">
        <v>715</v>
      </c>
      <c r="D14" s="131">
        <f t="shared" si="0"/>
        <v>0.10835817727777779</v>
      </c>
      <c r="E14" s="131">
        <f t="shared" si="1"/>
        <v>9.0088484597222226E-2</v>
      </c>
      <c r="H14" s="131">
        <f>B14+343</f>
        <v>1203</v>
      </c>
      <c r="I14" s="131">
        <f t="shared" si="2"/>
        <v>0.15157545030833336</v>
      </c>
    </row>
    <row r="15" spans="1:14" s="131" customFormat="1">
      <c r="A15" s="131">
        <v>160</v>
      </c>
      <c r="B15" s="131">
        <v>1111</v>
      </c>
      <c r="C15" s="131">
        <v>905</v>
      </c>
      <c r="D15" s="131">
        <f t="shared" si="0"/>
        <v>0.13998364529722224</v>
      </c>
      <c r="E15" s="131">
        <f t="shared" si="1"/>
        <v>0.11402808190277779</v>
      </c>
      <c r="H15" s="131">
        <f>B15+569</f>
        <v>1680</v>
      </c>
      <c r="I15" s="131">
        <f t="shared" si="2"/>
        <v>0.21167643933333333</v>
      </c>
    </row>
    <row r="16" spans="1:14" s="131" customFormat="1"/>
    <row r="17" spans="1:8" s="131" customFormat="1">
      <c r="A17" s="131" t="s">
        <v>188</v>
      </c>
    </row>
    <row r="18" spans="1:8" s="131" customFormat="1">
      <c r="B18" s="131" t="s">
        <v>190</v>
      </c>
      <c r="C18" s="131" t="s">
        <v>191</v>
      </c>
      <c r="D18" s="131" t="s">
        <v>192</v>
      </c>
    </row>
    <row r="19" spans="1:8" s="131" customFormat="1">
      <c r="A19" s="131" t="s">
        <v>189</v>
      </c>
      <c r="B19" s="131">
        <v>0</v>
      </c>
      <c r="C19" s="131">
        <v>0</v>
      </c>
      <c r="D19" s="131">
        <f>326*0.45359/3600</f>
        <v>4.1075094444444446E-2</v>
      </c>
    </row>
    <row r="20" spans="1:8" s="131" customFormat="1">
      <c r="A20" s="131" t="s">
        <v>207</v>
      </c>
      <c r="B20" s="131">
        <f>CONVERT(450, "ft", "m")/60</f>
        <v>2.286</v>
      </c>
      <c r="C20" s="131">
        <f>CONVERT(80, "kn", "m/sec")</f>
        <v>41.155555555555559</v>
      </c>
      <c r="D20" s="131">
        <f>I11</f>
        <v>7.0684810991666666E-2</v>
      </c>
      <c r="E20" s="131" t="s">
        <v>206</v>
      </c>
      <c r="F20" s="131" t="s">
        <v>204</v>
      </c>
    </row>
    <row r="21" spans="1:8" s="131" customFormat="1">
      <c r="D21" s="131">
        <f>E11</f>
        <v>5.5565065324999996E-2</v>
      </c>
    </row>
    <row r="22" spans="1:8" s="131" customFormat="1">
      <c r="A22" s="131" t="s">
        <v>195</v>
      </c>
      <c r="C22" s="131">
        <f>CONVERT(117, "kn", "m/sec")</f>
        <v>60.190000000000005</v>
      </c>
      <c r="D22" s="131">
        <f>0.45359*(192+691)/3600</f>
        <v>0.11125554722222222</v>
      </c>
      <c r="E22" s="131" t="s">
        <v>205</v>
      </c>
    </row>
    <row r="23" spans="1:8" s="131" customFormat="1">
      <c r="C23" s="131">
        <f>CONVERT(130, "kn", "m/sec")</f>
        <v>66.87777777777778</v>
      </c>
      <c r="D23" s="131">
        <f>0.45359*676/3600</f>
        <v>8.5174122222222232E-2</v>
      </c>
      <c r="E23" s="131" t="s">
        <v>196</v>
      </c>
    </row>
    <row r="24" spans="1:8" s="131" customFormat="1">
      <c r="A24" s="131" t="s">
        <v>201</v>
      </c>
      <c r="B24" s="131">
        <v>50</v>
      </c>
      <c r="E24" s="131" t="s">
        <v>202</v>
      </c>
    </row>
    <row r="25" spans="1:8" s="131" customFormat="1">
      <c r="A25" s="131" t="s">
        <v>203</v>
      </c>
      <c r="B25" s="131">
        <f>8.9</f>
        <v>8.9</v>
      </c>
      <c r="D25" s="131">
        <f>D7</f>
        <v>9.0214482477777788E-2</v>
      </c>
    </row>
    <row r="26" spans="1:8" s="131" customFormat="1">
      <c r="D26" s="131">
        <f>E7</f>
        <v>6.5644895769444447E-2</v>
      </c>
    </row>
    <row r="27" spans="1:8" s="132" customFormat="1" ht="15" thickBot="1">
      <c r="A27" s="132" t="s">
        <v>208</v>
      </c>
      <c r="C27" s="132">
        <f>CONVERT(60,"kn","m/sec")</f>
        <v>30.866666666666667</v>
      </c>
    </row>
    <row r="29" spans="1:8" s="130" customFormat="1">
      <c r="A29" s="130" t="s">
        <v>222</v>
      </c>
      <c r="B29" s="130" t="s">
        <v>223</v>
      </c>
      <c r="D29" s="130" t="s">
        <v>224</v>
      </c>
    </row>
    <row r="30" spans="1:8" s="131" customFormat="1">
      <c r="A30" s="131" t="s">
        <v>179</v>
      </c>
      <c r="B30" s="131" t="s">
        <v>183</v>
      </c>
      <c r="D30" s="131" t="s">
        <v>184</v>
      </c>
      <c r="H30" s="131" t="s">
        <v>197</v>
      </c>
    </row>
    <row r="31" spans="1:8" s="131" customFormat="1">
      <c r="B31" s="131" t="s">
        <v>181</v>
      </c>
      <c r="C31" s="131" t="s">
        <v>182</v>
      </c>
      <c r="D31" s="131" t="s">
        <v>181</v>
      </c>
      <c r="E31" s="131" t="s">
        <v>182</v>
      </c>
      <c r="H31" s="131" t="s">
        <v>226</v>
      </c>
    </row>
    <row r="32" spans="1:8" s="131" customFormat="1">
      <c r="A32" s="131" t="s">
        <v>185</v>
      </c>
      <c r="B32" s="131">
        <v>951</v>
      </c>
      <c r="C32" s="131">
        <v>713</v>
      </c>
      <c r="D32" s="131">
        <f>CONVERT(B32, "lbm", "g")/1000/3600</f>
        <v>0.11982398440833335</v>
      </c>
      <c r="E32" s="131">
        <f>CONVERT(C32, "lbm", "g")/1000/3600</f>
        <v>8.9836488836111117E-2</v>
      </c>
      <c r="F32" s="131" t="s">
        <v>193</v>
      </c>
    </row>
    <row r="33" spans="1:9" s="131" customFormat="1">
      <c r="A33" s="131" t="s">
        <v>186</v>
      </c>
      <c r="B33" s="131">
        <v>1297</v>
      </c>
      <c r="C33" s="131">
        <v>891</v>
      </c>
      <c r="D33" s="131">
        <f t="shared" ref="D33:D41" si="3">CONVERT(B33, "lbm", "g")/1000/3600</f>
        <v>0.16341925108055555</v>
      </c>
      <c r="E33" s="131">
        <f t="shared" ref="E33:E41" si="4">CONVERT(C33, "lbm", "g")/1000/3600</f>
        <v>0.11226411157500001</v>
      </c>
      <c r="F33" s="131" t="s">
        <v>194</v>
      </c>
    </row>
    <row r="34" spans="1:9" s="131" customFormat="1">
      <c r="A34" s="131" t="s">
        <v>187</v>
      </c>
      <c r="B34" s="131">
        <v>1111</v>
      </c>
      <c r="C34" s="131">
        <v>789</v>
      </c>
      <c r="D34" s="131">
        <f t="shared" si="3"/>
        <v>0.13998364529722224</v>
      </c>
      <c r="E34" s="131">
        <f t="shared" si="4"/>
        <v>9.9412327758333335E-2</v>
      </c>
      <c r="G34" s="131" t="s">
        <v>225</v>
      </c>
      <c r="H34" s="131" t="s">
        <v>199</v>
      </c>
      <c r="I34" s="131" t="s">
        <v>200</v>
      </c>
    </row>
    <row r="35" spans="1:9" s="131" customFormat="1">
      <c r="A35" s="131">
        <v>40</v>
      </c>
      <c r="B35" s="133">
        <v>925</v>
      </c>
      <c r="C35" s="133">
        <v>687</v>
      </c>
      <c r="D35" s="131">
        <f t="shared" si="3"/>
        <v>0.1165480395138889</v>
      </c>
      <c r="E35" s="131">
        <f t="shared" si="4"/>
        <v>8.6560543941666679E-2</v>
      </c>
      <c r="G35" s="131">
        <v>7</v>
      </c>
      <c r="H35" s="131">
        <f>B35+G35</f>
        <v>932</v>
      </c>
      <c r="I35" s="131">
        <f>CONVERT(H35, "lbm", "g")/1000/3600</f>
        <v>0.11743002467777779</v>
      </c>
    </row>
    <row r="36" spans="1:9" s="131" customFormat="1">
      <c r="A36" s="131">
        <v>60</v>
      </c>
      <c r="B36" s="133">
        <v>809</v>
      </c>
      <c r="C36" s="133">
        <v>639</v>
      </c>
      <c r="D36" s="131">
        <f t="shared" si="3"/>
        <v>0.10193228536944446</v>
      </c>
      <c r="E36" s="131">
        <f t="shared" si="4"/>
        <v>8.0512645675000008E-2</v>
      </c>
      <c r="G36" s="131">
        <v>22</v>
      </c>
      <c r="H36" s="131">
        <f>B36+G36</f>
        <v>831</v>
      </c>
      <c r="I36" s="131">
        <f t="shared" ref="I36:I41" si="5">CONVERT(H36, "lbm", "g")/1000/3600</f>
        <v>0.10470423874166666</v>
      </c>
    </row>
    <row r="37" spans="1:9" s="131" customFormat="1">
      <c r="A37" s="131">
        <v>80</v>
      </c>
      <c r="B37" s="133">
        <v>774</v>
      </c>
      <c r="C37" s="133">
        <v>631</v>
      </c>
      <c r="D37" s="131">
        <f t="shared" si="3"/>
        <v>9.7522359550000007E-2</v>
      </c>
      <c r="E37" s="131">
        <f t="shared" si="4"/>
        <v>7.9504662630555556E-2</v>
      </c>
      <c r="G37" s="131">
        <v>53</v>
      </c>
      <c r="H37" s="131">
        <f t="shared" ref="H36:H41" si="6">B37+G37</f>
        <v>827</v>
      </c>
      <c r="I37" s="131">
        <f t="shared" si="5"/>
        <v>0.10420024721944444</v>
      </c>
    </row>
    <row r="38" spans="1:9" s="131" customFormat="1">
      <c r="A38" s="131">
        <v>100</v>
      </c>
      <c r="B38" s="133">
        <v>801</v>
      </c>
      <c r="C38" s="133">
        <v>666</v>
      </c>
      <c r="D38" s="131">
        <f t="shared" si="3"/>
        <v>0.10092430232500001</v>
      </c>
      <c r="E38" s="131">
        <f t="shared" si="4"/>
        <v>8.3914588450000008E-2</v>
      </c>
      <c r="G38" s="133">
        <v>106</v>
      </c>
      <c r="H38" s="131">
        <f t="shared" si="6"/>
        <v>907</v>
      </c>
      <c r="I38" s="131">
        <f t="shared" si="5"/>
        <v>0.1142800776638889</v>
      </c>
    </row>
    <row r="39" spans="1:9" s="131" customFormat="1">
      <c r="A39" s="131">
        <v>120</v>
      </c>
      <c r="B39" s="133">
        <v>872</v>
      </c>
      <c r="C39" s="133">
        <v>735</v>
      </c>
      <c r="D39" s="131">
        <f t="shared" si="3"/>
        <v>0.10987015184444444</v>
      </c>
      <c r="E39" s="131">
        <f t="shared" si="4"/>
        <v>9.260844220833335E-2</v>
      </c>
      <c r="G39" s="133">
        <v>192</v>
      </c>
      <c r="H39" s="131">
        <f t="shared" si="6"/>
        <v>1064</v>
      </c>
      <c r="I39" s="131">
        <f t="shared" si="5"/>
        <v>0.13406174491111111</v>
      </c>
    </row>
    <row r="40" spans="1:9" s="131" customFormat="1">
      <c r="A40" s="131">
        <v>140</v>
      </c>
      <c r="B40" s="133">
        <v>1022</v>
      </c>
      <c r="C40" s="133">
        <v>852</v>
      </c>
      <c r="D40" s="131">
        <f t="shared" si="3"/>
        <v>0.1287698339277778</v>
      </c>
      <c r="E40" s="131">
        <f t="shared" si="4"/>
        <v>0.10735019423333333</v>
      </c>
      <c r="G40" s="133">
        <v>329</v>
      </c>
      <c r="H40" s="131">
        <f t="shared" si="6"/>
        <v>1351</v>
      </c>
      <c r="I40" s="131">
        <f t="shared" si="5"/>
        <v>0.17022313663055558</v>
      </c>
    </row>
    <row r="41" spans="1:9" s="131" customFormat="1">
      <c r="A41" s="131">
        <v>160</v>
      </c>
      <c r="B41" s="133">
        <v>1407</v>
      </c>
      <c r="C41" s="133">
        <v>1106</v>
      </c>
      <c r="D41" s="131">
        <f t="shared" si="3"/>
        <v>0.17727901794166667</v>
      </c>
      <c r="E41" s="131">
        <f t="shared" si="4"/>
        <v>0.13935365589444446</v>
      </c>
      <c r="G41" s="133">
        <v>595</v>
      </c>
      <c r="H41" s="131">
        <f t="shared" si="6"/>
        <v>2002</v>
      </c>
      <c r="I41" s="131">
        <f t="shared" si="5"/>
        <v>0.25224775687222223</v>
      </c>
    </row>
    <row r="42" spans="1:9" s="131" customFormat="1"/>
    <row r="43" spans="1:9" s="131" customFormat="1"/>
    <row r="44" spans="1:9" s="131" customFormat="1">
      <c r="A44" s="131" t="s">
        <v>236</v>
      </c>
    </row>
    <row r="45" spans="1:9" s="131" customFormat="1">
      <c r="B45" s="131" t="s">
        <v>190</v>
      </c>
      <c r="C45" s="131" t="s">
        <v>191</v>
      </c>
      <c r="D45" s="131" t="s">
        <v>192</v>
      </c>
    </row>
    <row r="46" spans="1:9" s="131" customFormat="1">
      <c r="A46" s="131" t="s">
        <v>189</v>
      </c>
      <c r="B46" s="131">
        <v>0</v>
      </c>
      <c r="C46" s="131">
        <v>0</v>
      </c>
      <c r="D46" s="131">
        <f>549*0.45359/3600</f>
        <v>6.9172474999999997E-2</v>
      </c>
    </row>
    <row r="47" spans="1:9" s="131" customFormat="1">
      <c r="A47" s="131" t="s">
        <v>207</v>
      </c>
      <c r="B47" s="131">
        <f>CONVERT(450, "ft", "m")/60</f>
        <v>2.286</v>
      </c>
      <c r="C47" s="131">
        <f>CONVERT(100, "kn", "m/sec")</f>
        <v>51.44444444444445</v>
      </c>
      <c r="D47" s="131">
        <f>I38</f>
        <v>0.1142800776638889</v>
      </c>
      <c r="E47" s="131" t="s">
        <v>206</v>
      </c>
    </row>
    <row r="48" spans="1:9" s="131" customFormat="1">
      <c r="D48" s="131">
        <f>E38</f>
        <v>8.3914588450000008E-2</v>
      </c>
    </row>
    <row r="49" spans="1:7" s="131" customFormat="1">
      <c r="A49" s="131" t="s">
        <v>195</v>
      </c>
      <c r="C49" s="131">
        <f>CONVERT(137, "kn", "m/sec")</f>
        <v>70.478888888888889</v>
      </c>
      <c r="D49" s="131">
        <f>0.45359*(1007+G40)/3600</f>
        <v>0.16833228888888888</v>
      </c>
      <c r="E49" s="131" t="s">
        <v>205</v>
      </c>
    </row>
    <row r="50" spans="1:7" s="131" customFormat="1">
      <c r="C50" s="131">
        <f>CONVERT(140, "kn", "m/sec")</f>
        <v>72.022222222222226</v>
      </c>
      <c r="D50" s="131">
        <f>0.45359*900/3600</f>
        <v>0.1133975</v>
      </c>
      <c r="E50" s="131" t="s">
        <v>196</v>
      </c>
    </row>
    <row r="51" spans="1:7" s="131" customFormat="1">
      <c r="A51" s="131" t="s">
        <v>201</v>
      </c>
      <c r="B51" s="131">
        <v>50</v>
      </c>
      <c r="E51" s="131" t="s">
        <v>202</v>
      </c>
    </row>
    <row r="52" spans="1:7" s="131" customFormat="1">
      <c r="A52" s="131" t="s">
        <v>203</v>
      </c>
      <c r="B52" s="131">
        <v>3.6</v>
      </c>
      <c r="D52" s="131">
        <f>D33</f>
        <v>0.16341925108055555</v>
      </c>
      <c r="F52" s="131" t="s">
        <v>227</v>
      </c>
      <c r="G52" s="131">
        <f>D32</f>
        <v>0.11982398440833335</v>
      </c>
    </row>
    <row r="53" spans="1:7" s="131" customFormat="1">
      <c r="D53" s="131">
        <f>E33</f>
        <v>0.11226411157500001</v>
      </c>
      <c r="G53" s="131">
        <f>E32</f>
        <v>8.9836488836111117E-2</v>
      </c>
    </row>
    <row r="54" spans="1:7" s="131" customFormat="1">
      <c r="A54" s="131" t="s">
        <v>208</v>
      </c>
      <c r="C54" s="131">
        <f>CONVERT(80,"kn","m/sec")</f>
        <v>41.155555555555559</v>
      </c>
      <c r="D54" s="131">
        <f>D37</f>
        <v>9.7522359550000007E-2</v>
      </c>
    </row>
    <row r="55" spans="1:7" s="132" customFormat="1" ht="15" thickBot="1">
      <c r="D55" s="132">
        <f>E37</f>
        <v>7.9504662630555556E-2</v>
      </c>
    </row>
    <row r="57" spans="1:7">
      <c r="A57" t="s">
        <v>228</v>
      </c>
      <c r="B57" t="s">
        <v>229</v>
      </c>
      <c r="D57" t="s">
        <v>230</v>
      </c>
      <c r="E57" s="134" t="s">
        <v>231</v>
      </c>
    </row>
    <row r="58" spans="1:7">
      <c r="B58" t="s">
        <v>232</v>
      </c>
      <c r="E58" t="s">
        <v>233</v>
      </c>
    </row>
    <row r="59" spans="1:7">
      <c r="B59" t="s">
        <v>234</v>
      </c>
      <c r="C59" t="s">
        <v>200</v>
      </c>
    </row>
    <row r="60" spans="1:7">
      <c r="B60">
        <v>525</v>
      </c>
      <c r="C60">
        <f>CONVERT(B60, "gal","l")*0.8/3600</f>
        <v>0.44163137480000003</v>
      </c>
      <c r="D60" t="s">
        <v>235</v>
      </c>
    </row>
    <row r="61" spans="1:7">
      <c r="A61" s="131"/>
      <c r="B61" s="131" t="s">
        <v>190</v>
      </c>
      <c r="C61" s="131" t="s">
        <v>191</v>
      </c>
      <c r="D61" s="131" t="s">
        <v>192</v>
      </c>
      <c r="E61" s="131"/>
      <c r="F61" s="131"/>
      <c r="G61" s="131"/>
    </row>
    <row r="62" spans="1:7">
      <c r="A62" s="131" t="s">
        <v>189</v>
      </c>
      <c r="B62" s="131">
        <v>0</v>
      </c>
      <c r="C62" s="131">
        <v>0</v>
      </c>
      <c r="D62" s="131">
        <v>0.09</v>
      </c>
      <c r="E62" s="131" t="s">
        <v>237</v>
      </c>
      <c r="F62" s="131"/>
      <c r="G62" s="131"/>
    </row>
    <row r="63" spans="1:7">
      <c r="A63" s="131" t="s">
        <v>207</v>
      </c>
      <c r="B63" s="131">
        <f>CONVERT(1330, "ft","m")/60</f>
        <v>6.7564000000000002</v>
      </c>
      <c r="C63" s="131">
        <f>SQRT(C65^2-B63^2)</f>
        <v>53.592455969266595</v>
      </c>
      <c r="D63" s="131"/>
      <c r="E63" s="131" t="s">
        <v>206</v>
      </c>
      <c r="F63" s="131"/>
      <c r="G63" s="131"/>
    </row>
    <row r="64" spans="1:7">
      <c r="A64" s="131"/>
      <c r="B64" s="131"/>
      <c r="C64" s="131"/>
      <c r="D64" s="131"/>
      <c r="E64" s="131"/>
      <c r="F64" s="131"/>
      <c r="G64" s="131"/>
    </row>
    <row r="65" spans="1:7">
      <c r="A65" s="131" t="s">
        <v>195</v>
      </c>
      <c r="B65" s="131"/>
      <c r="C65" s="131">
        <f>CONVERT(105, "kn", "m/sec")</f>
        <v>54.016666666666673</v>
      </c>
      <c r="D65" s="131"/>
      <c r="E65" s="131" t="s">
        <v>205</v>
      </c>
      <c r="F65" s="131"/>
      <c r="G65" s="131"/>
    </row>
    <row r="66" spans="1:7">
      <c r="A66" s="131"/>
      <c r="B66" s="131"/>
      <c r="C66" s="131">
        <f>CONVERT(105, "kn", "m/sec")</f>
        <v>54.016666666666673</v>
      </c>
      <c r="D66" s="131"/>
      <c r="E66" s="131" t="s">
        <v>196</v>
      </c>
      <c r="F66" s="131"/>
      <c r="G66" s="131"/>
    </row>
    <row r="67" spans="1:7">
      <c r="A67" s="131" t="s">
        <v>201</v>
      </c>
      <c r="B67" s="131">
        <v>70</v>
      </c>
      <c r="C67" s="131"/>
      <c r="D67" s="131"/>
      <c r="E67" s="131" t="s">
        <v>238</v>
      </c>
      <c r="F67" s="131"/>
      <c r="G67" s="131"/>
    </row>
    <row r="68" spans="1:7">
      <c r="A68" s="131" t="s">
        <v>203</v>
      </c>
      <c r="B68" s="131">
        <v>6.8</v>
      </c>
      <c r="C68" s="131"/>
      <c r="D68" s="131"/>
      <c r="E68" s="131"/>
      <c r="F68" s="131" t="s">
        <v>227</v>
      </c>
      <c r="G68" s="131">
        <f>D48</f>
        <v>8.3914588450000008E-2</v>
      </c>
    </row>
    <row r="69" spans="1:7">
      <c r="A69" s="131"/>
      <c r="B69" s="131"/>
      <c r="C69" s="131"/>
      <c r="D69" s="131"/>
      <c r="E69" s="131"/>
      <c r="F69" s="131"/>
      <c r="G69" s="131">
        <f>E48</f>
        <v>0</v>
      </c>
    </row>
    <row r="70" spans="1:7">
      <c r="A70" s="131" t="s">
        <v>208</v>
      </c>
      <c r="B70" s="131"/>
      <c r="C70" s="131">
        <f>CONVERT(90, "kn", "m/sec")</f>
        <v>46.300000000000004</v>
      </c>
      <c r="D70" s="131"/>
      <c r="E70" s="131"/>
      <c r="F70" s="131"/>
      <c r="G70" s="131"/>
    </row>
    <row r="71" spans="1:7" ht="15" thickBot="1">
      <c r="A71" s="132"/>
      <c r="B71" s="132"/>
      <c r="C71" s="132"/>
      <c r="D71" s="132"/>
      <c r="E71" s="132"/>
      <c r="F71" s="132"/>
      <c r="G71" s="132"/>
    </row>
    <row r="74" spans="1:7">
      <c r="A74" t="s">
        <v>239</v>
      </c>
      <c r="B74" t="s">
        <v>240</v>
      </c>
    </row>
    <row r="75" spans="1:7">
      <c r="A75" t="s">
        <v>241</v>
      </c>
    </row>
    <row r="76" spans="1:7">
      <c r="A76" t="s">
        <v>231</v>
      </c>
    </row>
    <row r="77" spans="1:7">
      <c r="A77" t="s">
        <v>242</v>
      </c>
    </row>
    <row r="78" spans="1:7">
      <c r="A78" t="s">
        <v>243</v>
      </c>
    </row>
    <row r="79" spans="1:7">
      <c r="A79" t="s">
        <v>244</v>
      </c>
    </row>
  </sheetData>
  <hyperlinks>
    <hyperlink ref="E57" r:id="rId1" xr:uid="{377C9E3F-1E55-4DB0-9079-20C2056859B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RFP Sizing General</vt:lpstr>
      <vt:lpstr>Geography</vt:lpstr>
      <vt:lpstr>V22 Mission for Validation</vt:lpstr>
      <vt:lpstr>Airport Distances</vt:lpstr>
      <vt:lpstr>Heli Mission Fuel Cons 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 Lemke</dc:creator>
  <cp:lastModifiedBy>Lemke, Katherine</cp:lastModifiedBy>
  <dcterms:created xsi:type="dcterms:W3CDTF">2025-07-21T09:59:00Z</dcterms:created>
  <dcterms:modified xsi:type="dcterms:W3CDTF">2026-02-28T05:33:57Z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AD9D3BE27F3645119107E58F4F2659B6_12</vt:lpwstr>
  </property>
  <property fmtid="{D5CDD505-2E9C-101B-9397-08002B2CF9AE}" pid="3" name="KSOProductBuildVer">
    <vt:lpwstr>1033-12.2.0.23155</vt:lpwstr>
  </property>
</Properties>
</file>